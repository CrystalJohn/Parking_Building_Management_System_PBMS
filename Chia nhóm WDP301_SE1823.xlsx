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Group" sheetId="1" state="visible" r:id="rId1"/>
    <sheet name="DS lớp - Điểm cộng và trừ" sheetId="2" state="visible" r:id="rId2"/>
    <sheet name="Điềm trừ - cộng nhóm" sheetId="3" state="visible" r:id="rId3"/>
    <sheet name="Tổng hợp tiến độ nghiên cứu các" sheetId="4" state="visible" r:id="rId4"/>
  </sheets>
  <definedNames/>
  <calcPr calcId="124519" fullCalcOnLoad="1"/>
</workbook>
</file>

<file path=xl/styles.xml><?xml version="1.0" encoding="utf-8"?>
<styleSheet xmlns="http://schemas.openxmlformats.org/spreadsheetml/2006/main">
  <numFmts count="1">
    <numFmt numFmtId="164" formatCode="d/m/yyyy"/>
  </numFmts>
  <fonts count="13">
    <font>
      <name val="Arial"/>
      <color rgb="FF000000"/>
      <sz val="10"/>
      <scheme val="minor"/>
    </font>
    <font>
      <name val="Arial"/>
      <b val="1"/>
      <color theme="1"/>
      <scheme val="minor"/>
    </font>
    <font>
      <name val="Times New Roman"/>
      <b val="1"/>
      <color theme="1"/>
      <sz val="12"/>
    </font>
    <font>
      <name val="Times New Roman"/>
      <color theme="1"/>
      <sz val="12"/>
    </font>
    <font>
      <name val="Arial"/>
      <color theme="1"/>
      <scheme val="minor"/>
    </font>
    <font/>
    <font>
      <name val="Arial"/>
      <color rgb="FF000000"/>
      <sz val="10"/>
    </font>
    <font>
      <name val="&quot;Helvetica Neue&quot;"/>
      <color rgb="FF333333"/>
    </font>
    <font>
      <name val="&quot;Helvetica Neue&quot;"/>
      <color rgb="FF333333"/>
      <sz val="15"/>
    </font>
    <font>
      <name val="Arial"/>
      <color theme="1"/>
    </font>
    <font>
      <name val="Arial"/>
      <b val="1"/>
      <color theme="1"/>
      <sz val="12"/>
      <scheme val="minor"/>
    </font>
    <font>
      <name val="Times New Roman"/>
      <color theme="1"/>
      <sz val="18"/>
    </font>
    <font>
      <name val="Arial"/>
      <color theme="1"/>
      <sz val="11"/>
      <scheme val="minor"/>
    </font>
  </fonts>
  <fills count="4">
    <fill>
      <patternFill/>
    </fill>
    <fill>
      <patternFill patternType="lightGray"/>
    </fill>
    <fill>
      <patternFill patternType="solid">
        <fgColor rgb="FFFFFFFF"/>
        <bgColor rgb="FFFFFFFF"/>
      </patternFill>
    </fill>
    <fill>
      <patternFill patternType="solid">
        <fgColor rgb="FF00FFFF"/>
        <bgColor rgb="FF00FFFF"/>
      </patternFill>
    </fill>
  </fills>
  <borders count="2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DDDDDD"/>
      </right>
      <top style="thin">
        <color rgb="FF000000"/>
      </top>
      <bottom style="thin">
        <color rgb="FFDDDDDD"/>
      </bottom>
    </border>
    <border>
      <left style="thin">
        <color rgb="FFDDDDDD"/>
      </left>
      <right style="thin">
        <color rgb="FFDDDDDD"/>
      </right>
      <top style="thin">
        <color rgb="FF000000"/>
      </top>
      <bottom style="thin">
        <color rgb="FFDDDDDD"/>
      </bottom>
    </border>
    <border>
      <left style="thin">
        <color rgb="FFDDDDDD"/>
      </left>
      <right style="thin">
        <color rgb="FF000000"/>
      </right>
      <top style="thin">
        <color rgb="FF000000"/>
      </top>
      <bottom style="thin">
        <color rgb="FFDDDDDD"/>
      </bottom>
    </border>
    <border>
      <left style="thin">
        <color rgb="FF000000"/>
      </left>
      <right style="thin">
        <color rgb="FFDDDDDD"/>
      </right>
      <top style="thin">
        <color rgb="FFDDDDDD"/>
      </top>
      <bottom style="thin">
        <color rgb="FFDDDDDD"/>
      </bottom>
    </border>
    <border>
      <left style="thin">
        <color rgb="FFDDDDDD"/>
      </left>
      <right style="thin">
        <color rgb="FFDDDDDD"/>
      </right>
      <top style="thin">
        <color rgb="FFDDDDDD"/>
      </top>
      <bottom style="thin">
        <color rgb="FFDDDDDD"/>
      </bottom>
    </border>
    <border>
      <left style="thin">
        <color rgb="FFDDDDDD"/>
      </left>
      <right style="thin">
        <color rgb="FF000000"/>
      </right>
      <top style="thin">
        <color rgb="FFDDDDDD"/>
      </top>
      <bottom style="thin">
        <color rgb="FFDDDDDD"/>
      </bottom>
    </border>
    <border>
      <left style="thin">
        <color rgb="FF000000"/>
      </left>
      <right style="thin">
        <color rgb="FFDDDDDD"/>
      </right>
      <top style="thin">
        <color rgb="FFDDDDDD"/>
      </top>
      <bottom style="thin">
        <color rgb="FF000000"/>
      </bottom>
    </border>
    <border>
      <left style="thin">
        <color rgb="FFDDDDDD"/>
      </left>
      <right style="thin">
        <color rgb="FFDDDDDD"/>
      </right>
      <top style="thin">
        <color rgb="FFDDDDDD"/>
      </top>
      <bottom style="thin">
        <color rgb="FF000000"/>
      </bottom>
    </border>
    <border>
      <left style="thin">
        <color rgb="FFDDDDDD"/>
      </left>
      <right style="thin">
        <color rgb="FF000000"/>
      </right>
      <top style="thin">
        <color rgb="FFDDDDDD"/>
      </top>
      <bottom style="thin">
        <color rgb="FF000000"/>
      </bottom>
    </border>
    <border>
      <top style="thin">
        <color rgb="FFDDDDDD"/>
      </top>
    </border>
    <border>
      <left style="thin">
        <color rgb="FF000000"/>
      </left>
      <top style="thin">
        <color rgb="FF000000"/>
      </top>
      <bottom style="thin">
        <color rgb="FF000000"/>
      </bottom>
    </border>
  </borders>
  <cellStyleXfs count="1">
    <xf numFmtId="0" fontId="0" fillId="0" borderId="0"/>
  </cellStyleXfs>
  <cellXfs count="62">
    <xf numFmtId="0" fontId="0" fillId="0" borderId="0" applyAlignment="1" pivotButton="0" quotePrefix="0" xfId="0">
      <alignment vertical="bottom"/>
    </xf>
    <xf numFmtId="0" fontId="1" fillId="0" borderId="0" applyAlignment="1" pivotButton="0" quotePrefix="0" xfId="0">
      <alignment horizontal="center"/>
    </xf>
    <xf numFmtId="0" fontId="2" fillId="0" borderId="1" applyAlignment="1" pivotButton="0" quotePrefix="0" xfId="0">
      <alignment horizontal="center" vertical="bottom"/>
    </xf>
    <xf numFmtId="0" fontId="2" fillId="0" borderId="1" applyAlignment="1" pivotButton="0" quotePrefix="0" xfId="0">
      <alignment horizontal="center" vertical="bottom"/>
    </xf>
    <xf numFmtId="0" fontId="2" fillId="0" borderId="1" applyAlignment="1" pivotButton="0" quotePrefix="0" xfId="0">
      <alignment vertical="bottom"/>
    </xf>
    <xf numFmtId="0" fontId="2" fillId="0" borderId="1" applyAlignment="1" pivotButton="0" quotePrefix="0" xfId="0">
      <alignment vertical="bottom"/>
    </xf>
    <xf numFmtId="0" fontId="3" fillId="0" borderId="2" applyAlignment="1" pivotButton="0" quotePrefix="0" xfId="0">
      <alignment horizontal="center" vertical="bottom"/>
    </xf>
    <xf numFmtId="0" fontId="4" fillId="0" borderId="3" applyAlignment="1" pivotButton="0" quotePrefix="0" xfId="0">
      <alignment horizontal="center"/>
    </xf>
    <xf numFmtId="0" fontId="4" fillId="0" borderId="4" pivotButton="0" quotePrefix="0" xfId="0"/>
    <xf numFmtId="0" fontId="4" fillId="0" borderId="5" pivotButton="0" quotePrefix="0" xfId="0"/>
    <xf numFmtId="0" fontId="3" fillId="0" borderId="2" applyAlignment="1" pivotButton="0" quotePrefix="0" xfId="0">
      <alignment horizontal="center" vertical="center"/>
    </xf>
    <xf numFmtId="0" fontId="5" fillId="0" borderId="6" pivotButton="0" quotePrefix="0" xfId="0"/>
    <xf numFmtId="0" fontId="4" fillId="0" borderId="7" applyAlignment="1" pivotButton="0" quotePrefix="0" xfId="0">
      <alignment horizontal="center"/>
    </xf>
    <xf numFmtId="0" fontId="4" fillId="0" borderId="0" pivotButton="0" quotePrefix="0" xfId="0"/>
    <xf numFmtId="0" fontId="4" fillId="0" borderId="8" pivotButton="0" quotePrefix="0" xfId="0"/>
    <xf numFmtId="0" fontId="5" fillId="0" borderId="9" pivotButton="0" quotePrefix="0" xfId="0"/>
    <xf numFmtId="0" fontId="4" fillId="0" borderId="10" applyAlignment="1" pivotButton="0" quotePrefix="0" xfId="0">
      <alignment horizontal="center"/>
    </xf>
    <xf numFmtId="0" fontId="4" fillId="0" borderId="11" pivotButton="0" quotePrefix="0" xfId="0"/>
    <xf numFmtId="0" fontId="4" fillId="0" borderId="12" pivotButton="0" quotePrefix="0" xfId="0"/>
    <xf numFmtId="0" fontId="3" fillId="0" borderId="2" applyAlignment="1" pivotButton="0" quotePrefix="0" xfId="0">
      <alignment horizontal="left" vertical="center" wrapText="1"/>
    </xf>
    <xf numFmtId="0" fontId="4" fillId="0" borderId="11" pivotButton="0" quotePrefix="0" xfId="0"/>
    <xf numFmtId="0" fontId="4" fillId="0" borderId="12" pivotButton="0" quotePrefix="0" xfId="0"/>
    <xf numFmtId="0" fontId="6" fillId="0" borderId="0" pivotButton="0" quotePrefix="0" xfId="0"/>
    <xf numFmtId="0" fontId="4" fillId="0" borderId="8" pivotButton="0" quotePrefix="0" xfId="0"/>
    <xf numFmtId="0" fontId="4" fillId="0" borderId="13" applyAlignment="1" pivotButton="0" quotePrefix="0" xfId="0">
      <alignment horizontal="center"/>
    </xf>
    <xf numFmtId="0" fontId="4" fillId="0" borderId="14" pivotButton="0" quotePrefix="0" xfId="0"/>
    <xf numFmtId="0" fontId="4" fillId="0" borderId="15" pivotButton="0" quotePrefix="0" xfId="0"/>
    <xf numFmtId="0" fontId="5" fillId="0" borderId="7" pivotButton="0" quotePrefix="0" xfId="0"/>
    <xf numFmtId="0" fontId="4" fillId="0" borderId="16" applyAlignment="1" pivotButton="0" quotePrefix="0" xfId="0">
      <alignment horizontal="center"/>
    </xf>
    <xf numFmtId="0" fontId="4" fillId="0" borderId="17" pivotButton="0" quotePrefix="0" xfId="0"/>
    <xf numFmtId="0" fontId="4" fillId="0" borderId="18" pivotButton="0" quotePrefix="0" xfId="0"/>
    <xf numFmtId="0" fontId="4" fillId="0" borderId="17" pivotButton="0" quotePrefix="0" xfId="0"/>
    <xf numFmtId="0" fontId="4" fillId="0" borderId="18" pivotButton="0" quotePrefix="0" xfId="0"/>
    <xf numFmtId="0" fontId="5" fillId="0" borderId="10" pivotButton="0" quotePrefix="0" xfId="0"/>
    <xf numFmtId="0" fontId="4" fillId="0" borderId="19" applyAlignment="1" pivotButton="0" quotePrefix="0" xfId="0">
      <alignment horizontal="center"/>
    </xf>
    <xf numFmtId="0" fontId="4" fillId="0" borderId="20" pivotButton="0" quotePrefix="0" xfId="0"/>
    <xf numFmtId="0" fontId="4" fillId="0" borderId="21" pivotButton="0" quotePrefix="0" xfId="0"/>
    <xf numFmtId="0" fontId="7" fillId="2" borderId="22" applyAlignment="1" pivotButton="0" quotePrefix="0" xfId="0">
      <alignment vertical="top"/>
    </xf>
    <xf numFmtId="0" fontId="7" fillId="2" borderId="22" applyAlignment="1" pivotButton="0" quotePrefix="0" xfId="0">
      <alignment horizontal="center" vertical="top"/>
    </xf>
    <xf numFmtId="0" fontId="7" fillId="2" borderId="22" applyAlignment="1" pivotButton="0" quotePrefix="0" xfId="0">
      <alignment vertical="top"/>
    </xf>
    <xf numFmtId="0" fontId="8" fillId="2" borderId="22" applyAlignment="1" pivotButton="0" quotePrefix="0" xfId="0">
      <alignment vertical="top"/>
    </xf>
    <xf numFmtId="0" fontId="4" fillId="0" borderId="0" applyAlignment="1" pivotButton="0" quotePrefix="0" xfId="0">
      <alignment horizontal="center"/>
    </xf>
    <xf numFmtId="164" fontId="4" fillId="0" borderId="0" applyAlignment="1" pivotButton="0" quotePrefix="0" xfId="0">
      <alignment horizontal="right"/>
    </xf>
    <xf numFmtId="0" fontId="9" fillId="0" borderId="0" applyAlignment="1" pivotButton="0" quotePrefix="0" xfId="0">
      <alignment horizontal="center" vertical="bottom"/>
    </xf>
    <xf numFmtId="164" fontId="4" fillId="0" borderId="0" pivotButton="0" quotePrefix="0" xfId="0"/>
    <xf numFmtId="0" fontId="10" fillId="3" borderId="0" applyAlignment="1" pivotButton="0" quotePrefix="0" xfId="0">
      <alignment horizontal="center"/>
    </xf>
    <xf numFmtId="0" fontId="10" fillId="3" borderId="1" applyAlignment="1" pivotButton="0" quotePrefix="0" xfId="0">
      <alignment horizontal="center"/>
    </xf>
    <xf numFmtId="0" fontId="11" fillId="0" borderId="2" applyAlignment="1" pivotButton="0" quotePrefix="0" xfId="0">
      <alignment horizontal="center" vertical="center"/>
    </xf>
    <xf numFmtId="0" fontId="3" fillId="0" borderId="6" applyAlignment="1" pivotButton="0" quotePrefix="0" xfId="0">
      <alignment horizontal="left" vertical="center" wrapText="1"/>
    </xf>
    <xf numFmtId="0" fontId="12" fillId="0" borderId="0" applyAlignment="1" pivotButton="0" quotePrefix="0" xfId="0">
      <alignment vertical="center" wrapText="1"/>
    </xf>
    <xf numFmtId="0" fontId="3" fillId="0" borderId="9" applyAlignment="1" pivotButton="0" quotePrefix="0" xfId="0">
      <alignment horizontal="left" vertical="center" wrapText="1"/>
    </xf>
    <xf numFmtId="0" fontId="4" fillId="0" borderId="1" pivotButton="0" quotePrefix="0" xfId="0"/>
    <xf numFmtId="0" fontId="3" fillId="0" borderId="1" applyAlignment="1" pivotButton="0" quotePrefix="0" xfId="0">
      <alignment horizontal="left" vertical="center" wrapText="1"/>
    </xf>
    <xf numFmtId="0" fontId="0" fillId="0" borderId="0" pivotButton="0" quotePrefix="0" xfId="0"/>
    <xf numFmtId="0" fontId="3" fillId="0" borderId="1" applyAlignment="1" pivotButton="0" quotePrefix="0" xfId="0">
      <alignment horizontal="center" vertical="bottom"/>
    </xf>
    <xf numFmtId="0" fontId="3" fillId="0" borderId="1" applyAlignment="1" pivotButton="0" quotePrefix="0" xfId="0">
      <alignment horizontal="center" vertical="center"/>
    </xf>
    <xf numFmtId="0" fontId="0" fillId="0" borderId="6" pivotButton="0" quotePrefix="0" xfId="0"/>
    <xf numFmtId="0" fontId="0" fillId="0" borderId="9" pivotButton="0" quotePrefix="0" xfId="0"/>
    <xf numFmtId="0" fontId="4" fillId="0" borderId="23" applyAlignment="1" pivotButton="0" quotePrefix="0" xfId="0">
      <alignment horizontal="center"/>
    </xf>
    <xf numFmtId="0" fontId="0" fillId="0" borderId="7" pivotButton="0" quotePrefix="0" xfId="0"/>
    <xf numFmtId="0" fontId="0" fillId="0" borderId="10" pivotButton="0" quotePrefix="0" xfId="0"/>
    <xf numFmtId="0" fontId="11" fillId="0" borderId="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I51"/>
  <sheetViews>
    <sheetView workbookViewId="0">
      <selection activeCell="A1" sqref="A1"/>
    </sheetView>
  </sheetViews>
  <sheetFormatPr baseColWidth="8" defaultColWidth="12.63" defaultRowHeight="15.75" customHeight="1"/>
  <cols>
    <col width="7.63" customWidth="1" style="53" min="1" max="1"/>
    <col width="5.25" customWidth="1" style="53" min="2" max="2"/>
    <col width="25" customWidth="1" style="53" min="3" max="3"/>
    <col width="36.25" customWidth="1" style="53" min="4" max="4"/>
    <col width="20.25" customWidth="1" style="53" min="5" max="5"/>
    <col width="80.13" customWidth="1" style="53" min="6" max="6"/>
  </cols>
  <sheetData>
    <row r="1">
      <c r="A1" s="1" t="inlineStr">
        <is>
          <t xml:space="preserve">Team </t>
        </is>
      </c>
      <c r="B1" s="3" t="inlineStr">
        <is>
          <t>No.</t>
        </is>
      </c>
      <c r="C1" s="3" t="inlineStr">
        <is>
          <t>Rollnumber</t>
        </is>
      </c>
      <c r="D1" s="3" t="inlineStr">
        <is>
          <t>Fullname</t>
        </is>
      </c>
      <c r="E1" s="3" t="inlineStr">
        <is>
          <t>Role in group</t>
        </is>
      </c>
      <c r="F1" s="5" t="inlineStr">
        <is>
          <t xml:space="preserve">Đề Tài </t>
        </is>
      </c>
      <c r="G1" s="5" t="n"/>
      <c r="H1" s="5" t="n"/>
      <c r="I1" s="5" t="n"/>
    </row>
    <row r="2">
      <c r="A2" s="54" t="n">
        <v>1</v>
      </c>
      <c r="B2" s="7" t="n">
        <v>1</v>
      </c>
      <c r="C2" s="8" t="inlineStr">
        <is>
          <t>SE184308</t>
        </is>
      </c>
      <c r="D2" s="8" t="inlineStr">
        <is>
          <t>Nguyễn Thiên Ân</t>
        </is>
      </c>
      <c r="E2" s="9" t="inlineStr">
        <is>
          <t>Leader</t>
        </is>
      </c>
      <c r="F2" s="55" t="inlineStr">
        <is>
          <t>Hệ thống Quản lý Tài liệu Học tập AI (AI Study Hub)</t>
        </is>
      </c>
    </row>
    <row r="3">
      <c r="A3" s="56" t="n"/>
      <c r="B3" s="12" t="n">
        <v>2</v>
      </c>
      <c r="C3" s="13" t="inlineStr">
        <is>
          <t xml:space="preserve">SE184316 </t>
        </is>
      </c>
      <c r="D3" s="13" t="inlineStr">
        <is>
          <t>Châu Hiếu Nhân</t>
        </is>
      </c>
      <c r="E3" s="23" t="inlineStr">
        <is>
          <t>Member</t>
        </is>
      </c>
      <c r="F3" s="56" t="n"/>
    </row>
    <row r="4">
      <c r="A4" s="56" t="n"/>
      <c r="B4" s="12" t="n">
        <v>3</v>
      </c>
      <c r="C4" s="13" t="inlineStr">
        <is>
          <t xml:space="preserve">SE181542 </t>
        </is>
      </c>
      <c r="D4" s="13" t="inlineStr">
        <is>
          <t>Lê Ngọc Bảo Khánh</t>
        </is>
      </c>
      <c r="E4" s="23" t="inlineStr">
        <is>
          <t>Member</t>
        </is>
      </c>
      <c r="F4" s="56" t="n"/>
    </row>
    <row r="5">
      <c r="A5" s="56" t="n"/>
      <c r="B5" s="12" t="n">
        <v>4</v>
      </c>
      <c r="C5" s="13" t="inlineStr">
        <is>
          <t xml:space="preserve">SE180318 </t>
        </is>
      </c>
      <c r="D5" s="13" t="inlineStr">
        <is>
          <t>Vũ Lưu Kiệt</t>
        </is>
      </c>
      <c r="E5" s="23" t="inlineStr">
        <is>
          <t>Member</t>
        </is>
      </c>
      <c r="F5" s="56" t="n"/>
    </row>
    <row r="6">
      <c r="A6" s="57" t="n"/>
      <c r="B6" s="16" t="n">
        <v>5</v>
      </c>
      <c r="C6" s="20" t="inlineStr">
        <is>
          <t xml:space="preserve">SE184916 </t>
        </is>
      </c>
      <c r="D6" s="20" t="inlineStr">
        <is>
          <t>Mai Thành Nhân</t>
        </is>
      </c>
      <c r="E6" s="21" t="inlineStr">
        <is>
          <t>Member</t>
        </is>
      </c>
      <c r="F6" s="57" t="n"/>
    </row>
    <row r="7">
      <c r="A7" s="54" t="n">
        <v>2</v>
      </c>
      <c r="B7" s="7" t="n">
        <v>1</v>
      </c>
      <c r="C7" s="8" t="inlineStr">
        <is>
          <t>SE170176</t>
        </is>
      </c>
      <c r="D7" s="8" t="inlineStr">
        <is>
          <t>Cao Trần Hoàng Minh</t>
        </is>
      </c>
      <c r="E7" s="9" t="inlineStr">
        <is>
          <t>Leader</t>
        </is>
      </c>
      <c r="F7" s="52" t="inlineStr">
        <is>
          <t>Smart Vehicle Care CRM Platform with Loyalty &amp; Appointment Management</t>
        </is>
      </c>
    </row>
    <row r="8">
      <c r="A8" s="56" t="n"/>
      <c r="B8" s="12" t="n">
        <v>2</v>
      </c>
      <c r="C8" s="13" t="inlineStr">
        <is>
          <t>SE184632</t>
        </is>
      </c>
      <c r="D8" s="13" t="inlineStr">
        <is>
          <t>Nguyễn Gia Hữu Phước</t>
        </is>
      </c>
      <c r="E8" s="23" t="inlineStr">
        <is>
          <t>Member</t>
        </is>
      </c>
      <c r="F8" s="56" t="n"/>
    </row>
    <row r="9">
      <c r="A9" s="56" t="n"/>
      <c r="B9" s="12" t="n">
        <v>3</v>
      </c>
      <c r="C9" s="13" t="inlineStr">
        <is>
          <t>SE184409</t>
        </is>
      </c>
      <c r="D9" s="13" t="inlineStr">
        <is>
          <t>Lâm Thị Ngọc Hân</t>
        </is>
      </c>
      <c r="E9" s="23" t="inlineStr">
        <is>
          <t>Member</t>
        </is>
      </c>
      <c r="F9" s="56" t="n"/>
    </row>
    <row r="10">
      <c r="A10" s="56" t="n"/>
      <c r="B10" s="12" t="n">
        <v>4</v>
      </c>
      <c r="C10" s="13" t="inlineStr">
        <is>
          <t>SS181219</t>
        </is>
      </c>
      <c r="D10" s="13" t="inlineStr">
        <is>
          <t>Hoàng Ngọc Minh Châu</t>
        </is>
      </c>
      <c r="E10" s="23" t="inlineStr">
        <is>
          <t>Member</t>
        </is>
      </c>
      <c r="F10" s="56" t="n"/>
    </row>
    <row r="11">
      <c r="A11" s="57" t="n"/>
      <c r="B11" s="16" t="n">
        <v>5</v>
      </c>
      <c r="C11" s="20" t="n"/>
      <c r="D11" s="20" t="n"/>
      <c r="E11" s="21" t="n"/>
      <c r="F11" s="57" t="n"/>
    </row>
    <row r="12">
      <c r="A12" s="54" t="n">
        <v>3</v>
      </c>
      <c r="B12" s="7" t="n">
        <v>1</v>
      </c>
      <c r="C12" s="8" t="inlineStr">
        <is>
          <t>SE182737</t>
        </is>
      </c>
      <c r="D12" s="8" t="inlineStr">
        <is>
          <t>Lương Khánh Toàn</t>
        </is>
      </c>
      <c r="E12" s="9" t="inlineStr">
        <is>
          <t>Member</t>
        </is>
      </c>
      <c r="F12" s="55" t="inlineStr">
        <is>
          <t>Personalized Career Orientation &amp; Learning Roadmap Platform for Software Engineering Students.</t>
        </is>
      </c>
    </row>
    <row r="13">
      <c r="A13" s="56" t="n"/>
      <c r="B13" s="12" t="n">
        <v>2</v>
      </c>
      <c r="C13" s="13" t="inlineStr">
        <is>
          <t>SE180681</t>
        </is>
      </c>
      <c r="D13" s="13" t="inlineStr">
        <is>
          <t>Lê Văn Kiên</t>
        </is>
      </c>
      <c r="E13" s="23" t="inlineStr">
        <is>
          <t>Member</t>
        </is>
      </c>
      <c r="F13" s="56" t="n"/>
    </row>
    <row r="14">
      <c r="A14" s="56" t="n"/>
      <c r="B14" s="12" t="n">
        <v>3</v>
      </c>
      <c r="C14" s="13" t="inlineStr">
        <is>
          <t>SE184981</t>
        </is>
      </c>
      <c r="D14" s="13" t="inlineStr">
        <is>
          <t>Bùi Đức Anh</t>
        </is>
      </c>
      <c r="E14" s="23" t="inlineStr">
        <is>
          <t>Leader</t>
        </is>
      </c>
      <c r="F14" s="56" t="n"/>
      <c r="H14" s="13" t="n"/>
    </row>
    <row r="15">
      <c r="A15" s="56" t="n"/>
      <c r="B15" s="12" t="n">
        <v>4</v>
      </c>
      <c r="C15" s="13" t="inlineStr">
        <is>
          <t>SE184509</t>
        </is>
      </c>
      <c r="D15" s="13" t="inlineStr">
        <is>
          <t>Tăng Thùy Thụy</t>
        </is>
      </c>
      <c r="E15" s="23" t="inlineStr">
        <is>
          <t>Member</t>
        </is>
      </c>
      <c r="F15" s="56" t="n"/>
      <c r="G15" s="13" t="n"/>
    </row>
    <row r="16">
      <c r="A16" s="57" t="n"/>
      <c r="B16" s="16" t="n">
        <v>5</v>
      </c>
      <c r="C16" s="22" t="inlineStr">
        <is>
          <t>SE171529</t>
        </is>
      </c>
      <c r="D16" s="20" t="inlineStr">
        <is>
          <t>Nguyễn Khánh Hưng</t>
        </is>
      </c>
      <c r="E16" s="21" t="inlineStr">
        <is>
          <t>Member</t>
        </is>
      </c>
      <c r="F16" s="57" t="n"/>
    </row>
    <row r="17">
      <c r="A17" s="54" t="n">
        <v>4</v>
      </c>
      <c r="B17" s="7" t="n">
        <v>1</v>
      </c>
      <c r="C17" s="8" t="inlineStr">
        <is>
          <t>SE183334</t>
        </is>
      </c>
      <c r="D17" s="8" t="inlineStr">
        <is>
          <t>Nguyễn Quang Vinh</t>
        </is>
      </c>
      <c r="E17" s="9" t="inlineStr">
        <is>
          <t>Member</t>
        </is>
      </c>
      <c r="F17" s="55" t="inlineStr">
        <is>
          <t>TV: Hệ thống quản lý cuộc thi SEAL Hackathon ngành Kỹ thuật Phần mềm.
 TA: SEAL – Software Engineering Hackathon Management System</t>
        </is>
      </c>
    </row>
    <row r="18">
      <c r="A18" s="56" t="n"/>
      <c r="B18" s="12" t="n">
        <v>2</v>
      </c>
      <c r="C18" s="13" t="inlineStr">
        <is>
          <t>SE180554</t>
        </is>
      </c>
      <c r="D18" s="13" t="inlineStr">
        <is>
          <t>Mai Thị Thanh Ngân</t>
        </is>
      </c>
      <c r="E18" s="23" t="inlineStr">
        <is>
          <t>Leader</t>
        </is>
      </c>
      <c r="F18" s="56" t="n"/>
    </row>
    <row r="19">
      <c r="A19" s="56" t="n"/>
      <c r="B19" s="12" t="n">
        <v>3</v>
      </c>
      <c r="C19" s="13" t="inlineStr">
        <is>
          <t>SE181968</t>
        </is>
      </c>
      <c r="D19" s="13" t="inlineStr">
        <is>
          <t>Lê Nguyễn Xuân Lộc</t>
        </is>
      </c>
      <c r="E19" s="23" t="inlineStr">
        <is>
          <t>Member</t>
        </is>
      </c>
      <c r="F19" s="56" t="n"/>
    </row>
    <row r="20">
      <c r="A20" s="56" t="n"/>
      <c r="B20" s="12" t="n">
        <v>4</v>
      </c>
      <c r="C20" s="13" t="inlineStr">
        <is>
          <t>SE180566</t>
        </is>
      </c>
      <c r="D20" s="13" t="inlineStr">
        <is>
          <t>Vũ Tiến Đạt</t>
        </is>
      </c>
      <c r="E20" s="23" t="inlineStr">
        <is>
          <t>Member</t>
        </is>
      </c>
      <c r="F20" s="56" t="n"/>
    </row>
    <row r="21">
      <c r="A21" s="57" t="n"/>
      <c r="B21" s="16" t="n">
        <v>5</v>
      </c>
      <c r="C21" s="20" t="n"/>
      <c r="D21" s="20" t="n"/>
      <c r="E21" s="21" t="n"/>
      <c r="F21" s="57" t="n"/>
    </row>
    <row r="22">
      <c r="A22" s="54" t="n">
        <v>5</v>
      </c>
      <c r="B22" s="7" t="n">
        <v>1</v>
      </c>
      <c r="C22" s="8" t="inlineStr">
        <is>
          <t>SE183677</t>
        </is>
      </c>
      <c r="D22" s="8" t="inlineStr">
        <is>
          <t>Hoàng Long Anh</t>
        </is>
      </c>
      <c r="E22" s="9" t="inlineStr">
        <is>
          <t>Member</t>
        </is>
      </c>
      <c r="F22" s="55" t="inlineStr">
        <is>
          <t>Scientific Journal Publication Trend Tracking System</t>
        </is>
      </c>
    </row>
    <row r="23">
      <c r="A23" s="56" t="n"/>
      <c r="B23" s="12" t="n">
        <v>2</v>
      </c>
      <c r="C23" s="13" t="inlineStr">
        <is>
          <t>SE185092</t>
        </is>
      </c>
      <c r="D23" s="13" t="inlineStr">
        <is>
          <t xml:space="preserve">Nguyễn Huy Hoàng </t>
        </is>
      </c>
      <c r="E23" s="23" t="inlineStr">
        <is>
          <t>Member</t>
        </is>
      </c>
      <c r="F23" s="56" t="n"/>
    </row>
    <row r="24">
      <c r="A24" s="56" t="n"/>
      <c r="B24" s="12" t="n">
        <v>3</v>
      </c>
      <c r="C24" s="13" t="inlineStr">
        <is>
          <t>SE183675</t>
        </is>
      </c>
      <c r="D24" s="13" t="inlineStr">
        <is>
          <t>Lê Hữu Khoa</t>
        </is>
      </c>
      <c r="E24" s="23" t="inlineStr">
        <is>
          <t>Leader</t>
        </is>
      </c>
      <c r="F24" s="56" t="n"/>
    </row>
    <row r="25">
      <c r="A25" s="56" t="n"/>
      <c r="B25" s="12" t="n">
        <v>4</v>
      </c>
      <c r="C25" s="13" t="inlineStr">
        <is>
          <t>SE181652</t>
        </is>
      </c>
      <c r="D25" s="13" t="inlineStr">
        <is>
          <t>Võ Minh Chánh</t>
        </is>
      </c>
      <c r="E25" s="23" t="inlineStr">
        <is>
          <t>Member</t>
        </is>
      </c>
      <c r="F25" s="56" t="n"/>
    </row>
    <row r="26">
      <c r="A26" s="57" t="n"/>
      <c r="B26" s="16" t="n">
        <v>5</v>
      </c>
      <c r="C26" s="20" t="n"/>
      <c r="D26" s="20" t="n"/>
      <c r="E26" s="21" t="n"/>
      <c r="F26" s="57" t="n"/>
    </row>
    <row r="27">
      <c r="A27" s="54" t="n">
        <v>6</v>
      </c>
      <c r="B27" s="7" t="n">
        <v>1</v>
      </c>
      <c r="C27" s="8" t="inlineStr">
        <is>
          <t>SE182134</t>
        </is>
      </c>
      <c r="D27" s="8" t="inlineStr">
        <is>
          <t>Huỳnh Khả Tú</t>
        </is>
      </c>
      <c r="E27" s="9" t="inlineStr">
        <is>
          <t>Member</t>
        </is>
      </c>
      <c r="F27" s="54" t="inlineStr">
        <is>
          <t>Manga Creation Workflow and Publishing Management System</t>
        </is>
      </c>
    </row>
    <row r="28">
      <c r="A28" s="56" t="n"/>
      <c r="B28" s="12" t="n">
        <v>2</v>
      </c>
      <c r="C28" s="13" t="inlineStr">
        <is>
          <t>SE181524</t>
        </is>
      </c>
      <c r="D28" s="13" t="inlineStr">
        <is>
          <t>Nguyễn Minh Huy</t>
        </is>
      </c>
      <c r="E28" s="23" t="inlineStr">
        <is>
          <t>Leader</t>
        </is>
      </c>
      <c r="F28" s="56" t="n"/>
    </row>
    <row r="29">
      <c r="A29" s="56" t="n"/>
      <c r="B29" s="12" t="n">
        <v>3</v>
      </c>
      <c r="C29" s="13" t="inlineStr">
        <is>
          <t>SE184970</t>
        </is>
      </c>
      <c r="D29" s="13" t="inlineStr">
        <is>
          <t>Nguyễn Tiến Đạt</t>
        </is>
      </c>
      <c r="E29" s="23" t="inlineStr">
        <is>
          <t>Member</t>
        </is>
      </c>
      <c r="F29" s="56" t="n"/>
    </row>
    <row r="30">
      <c r="A30" s="56" t="n"/>
      <c r="B30" s="12" t="n">
        <v>4</v>
      </c>
      <c r="C30" s="13" t="inlineStr">
        <is>
          <t>SE181760</t>
        </is>
      </c>
      <c r="D30" s="13" t="inlineStr">
        <is>
          <t>Nguyễn Tuấn Tú</t>
        </is>
      </c>
      <c r="E30" s="23" t="inlineStr">
        <is>
          <t>Member</t>
        </is>
      </c>
      <c r="F30" s="56" t="n"/>
      <c r="G30" s="13" t="n"/>
    </row>
    <row r="31">
      <c r="A31" s="57" t="n"/>
      <c r="B31" s="16" t="n">
        <v>5</v>
      </c>
      <c r="C31" s="20" t="n"/>
      <c r="D31" s="20" t="n"/>
      <c r="E31" s="21" t="n"/>
      <c r="F31" s="57" t="n"/>
    </row>
    <row r="32">
      <c r="A32" s="54" t="inlineStr">
        <is>
          <t>7 *</t>
        </is>
      </c>
      <c r="B32" s="7" t="n">
        <v>1</v>
      </c>
      <c r="C32" s="8" t="inlineStr">
        <is>
          <t>SE182156</t>
        </is>
      </c>
      <c r="D32" s="8" t="inlineStr">
        <is>
          <t>Nguyễn Nam Thịnh</t>
        </is>
      </c>
      <c r="E32" s="9" t="inlineStr">
        <is>
          <t>Leader</t>
        </is>
      </c>
      <c r="F32" s="54" t="inlineStr">
        <is>
          <t>"Hệ thống quản lý giải đua ngựa
Horse Racing Tournament Management System"</t>
        </is>
      </c>
    </row>
    <row r="33">
      <c r="A33" s="56" t="n"/>
      <c r="B33" s="12" t="n">
        <v>2</v>
      </c>
      <c r="C33" s="13" t="inlineStr">
        <is>
          <t>SE184588</t>
        </is>
      </c>
      <c r="D33" s="13" t="inlineStr">
        <is>
          <t>Nguyễn Đức Anh</t>
        </is>
      </c>
      <c r="E33" s="23" t="inlineStr">
        <is>
          <t>Member</t>
        </is>
      </c>
      <c r="F33" s="56" t="n"/>
    </row>
    <row r="34">
      <c r="A34" s="56" t="n"/>
      <c r="B34" s="12" t="n">
        <v>3</v>
      </c>
      <c r="C34" s="13" t="inlineStr">
        <is>
          <t>SE180288</t>
        </is>
      </c>
      <c r="D34" s="13" t="inlineStr">
        <is>
          <t>Nguyễn Hoài Ân</t>
        </is>
      </c>
      <c r="E34" s="23" t="inlineStr">
        <is>
          <t>Member</t>
        </is>
      </c>
      <c r="F34" s="56" t="n"/>
    </row>
    <row r="35">
      <c r="A35" s="56" t="n"/>
      <c r="B35" s="12" t="n">
        <v>4</v>
      </c>
      <c r="C35" s="13" t="inlineStr">
        <is>
          <t>SE181679</t>
        </is>
      </c>
      <c r="D35" s="13" t="inlineStr">
        <is>
          <t>Nguyễn Thanh Phong</t>
        </is>
      </c>
      <c r="E35" s="23" t="inlineStr">
        <is>
          <t>Member</t>
        </is>
      </c>
      <c r="F35" s="56" t="n"/>
    </row>
    <row r="36">
      <c r="A36" s="57" t="n"/>
      <c r="B36" s="16" t="n">
        <v>5</v>
      </c>
      <c r="C36" s="20" t="n"/>
      <c r="D36" s="20" t="n"/>
      <c r="E36" s="21" t="n"/>
      <c r="F36" s="57" t="n"/>
    </row>
    <row r="37">
      <c r="A37" s="54" t="n">
        <v>8</v>
      </c>
      <c r="B37" s="7" t="n">
        <v>1</v>
      </c>
      <c r="C37" s="8" t="inlineStr">
        <is>
          <t>SE182755</t>
        </is>
      </c>
      <c r="D37" s="8" t="inlineStr">
        <is>
          <t>Quản Minh Luân</t>
        </is>
      </c>
      <c r="E37" s="9" t="inlineStr">
        <is>
          <t>Member</t>
        </is>
      </c>
      <c r="F37" s="54" t="inlineStr">
        <is>
          <t>Hệ thống quản lý tòa nhà gửi xe
Parking Building Management System</t>
        </is>
      </c>
    </row>
    <row r="38">
      <c r="A38" s="56" t="n"/>
      <c r="B38" s="12" t="n">
        <v>2</v>
      </c>
      <c r="C38" s="13" t="inlineStr">
        <is>
          <t>SE184158</t>
        </is>
      </c>
      <c r="D38" s="13" t="inlineStr">
        <is>
          <t>Đào Huy Hoàng</t>
        </is>
      </c>
      <c r="E38" s="23" t="inlineStr">
        <is>
          <t>Member</t>
        </is>
      </c>
      <c r="F38" s="56" t="n"/>
    </row>
    <row r="39">
      <c r="A39" s="56" t="n"/>
      <c r="B39" s="12" t="n">
        <v>3</v>
      </c>
      <c r="C39" s="13" t="inlineStr">
        <is>
          <t>SE183992</t>
        </is>
      </c>
      <c r="D39" s="13" t="inlineStr">
        <is>
          <t>Trần Phan Thanh Phúc</t>
        </is>
      </c>
      <c r="E39" s="23" t="inlineStr">
        <is>
          <t>Leader</t>
        </is>
      </c>
      <c r="F39" s="56" t="n"/>
    </row>
    <row r="40">
      <c r="A40" s="56" t="n"/>
      <c r="B40" s="12" t="n">
        <v>4</v>
      </c>
      <c r="E40" s="23" t="n"/>
      <c r="F40" s="56" t="n"/>
    </row>
    <row r="41">
      <c r="A41" s="57" t="n"/>
      <c r="B41" s="16" t="n">
        <v>5</v>
      </c>
      <c r="C41" s="20" t="n"/>
      <c r="D41" s="20" t="n"/>
      <c r="E41" s="21" t="n"/>
      <c r="F41" s="57" t="n"/>
    </row>
    <row r="42">
      <c r="A42" s="54" t="n">
        <v>9</v>
      </c>
      <c r="B42" s="7" t="n">
        <v>1</v>
      </c>
      <c r="C42" s="8" t="inlineStr">
        <is>
          <t>SE190090</t>
        </is>
      </c>
      <c r="D42" s="8" t="inlineStr">
        <is>
          <t>Nguyễn Khánh Ngân</t>
        </is>
      </c>
      <c r="E42" s="23" t="inlineStr">
        <is>
          <t>Member</t>
        </is>
      </c>
      <c r="F42" s="54" t="inlineStr">
        <is>
          <t>AR-based Infrastructure Monitoring and Maintenance System</t>
        </is>
      </c>
    </row>
    <row r="43">
      <c r="A43" s="56" t="n"/>
      <c r="B43" s="12" t="n">
        <v>2</v>
      </c>
      <c r="C43" s="13" t="inlineStr">
        <is>
          <t>SE190556</t>
        </is>
      </c>
      <c r="D43" s="13" t="inlineStr">
        <is>
          <t>Phan Võ Đức Huy</t>
        </is>
      </c>
      <c r="E43" s="23" t="inlineStr">
        <is>
          <t>Leader</t>
        </is>
      </c>
      <c r="F43" s="56" t="n"/>
    </row>
    <row r="44">
      <c r="A44" s="56" t="n"/>
      <c r="B44" s="12" t="n">
        <v>3</v>
      </c>
      <c r="C44" s="13" t="inlineStr">
        <is>
          <t>SE190734</t>
        </is>
      </c>
      <c r="D44" s="13" t="inlineStr">
        <is>
          <t>Lê Trần Anh Duy</t>
        </is>
      </c>
      <c r="E44" s="23" t="inlineStr">
        <is>
          <t>Member</t>
        </is>
      </c>
      <c r="F44" s="56" t="n"/>
    </row>
    <row r="45">
      <c r="A45" s="56" t="n"/>
      <c r="B45" s="12" t="n">
        <v>4</v>
      </c>
      <c r="E45" s="23" t="n"/>
      <c r="F45" s="56" t="n"/>
    </row>
    <row r="46">
      <c r="A46" s="57" t="n"/>
      <c r="B46" s="12" t="n">
        <v>5</v>
      </c>
      <c r="E46" s="23" t="n"/>
      <c r="F46" s="57" t="n"/>
    </row>
    <row r="47">
      <c r="A47" s="58" t="n"/>
      <c r="B47" s="24" t="n"/>
      <c r="C47" s="25" t="n"/>
      <c r="D47" s="25" t="n"/>
      <c r="E47" s="26" t="n"/>
    </row>
    <row r="48">
      <c r="A48" s="59" t="n"/>
      <c r="B48" s="28" t="n"/>
      <c r="C48" s="31" t="n"/>
      <c r="D48" s="31" t="n"/>
      <c r="E48" s="32" t="n"/>
    </row>
    <row r="49">
      <c r="A49" s="59" t="n"/>
      <c r="B49" s="28" t="n"/>
      <c r="C49" s="31" t="n"/>
      <c r="D49" s="31" t="n"/>
      <c r="E49" s="32" t="n"/>
    </row>
    <row r="50">
      <c r="A50" s="59" t="n"/>
      <c r="B50" s="28" t="n"/>
      <c r="C50" s="31" t="n"/>
      <c r="D50" s="31" t="n"/>
      <c r="E50" s="32" t="n"/>
    </row>
    <row r="51">
      <c r="A51" s="60" t="n"/>
      <c r="B51" s="34" t="n"/>
      <c r="C51" s="35" t="n"/>
      <c r="D51" s="35" t="n"/>
      <c r="E51" s="36" t="n"/>
    </row>
  </sheetData>
  <mergeCells count="21">
    <mergeCell ref="F32:F36"/>
    <mergeCell ref="A12:A16"/>
    <mergeCell ref="F2:F6"/>
    <mergeCell ref="F17:F21"/>
    <mergeCell ref="A2:A6"/>
    <mergeCell ref="A42:A46"/>
    <mergeCell ref="F22:F26"/>
    <mergeCell ref="A47:A51"/>
    <mergeCell ref="F37:F41"/>
    <mergeCell ref="A32:A36"/>
    <mergeCell ref="F27:F31"/>
    <mergeCell ref="A22:A26"/>
    <mergeCell ref="A17:A21"/>
    <mergeCell ref="G30:H30"/>
    <mergeCell ref="G15:H15"/>
    <mergeCell ref="F7:F11"/>
    <mergeCell ref="A7:A11"/>
    <mergeCell ref="F12:F16"/>
    <mergeCell ref="A27:A31"/>
    <mergeCell ref="F42:F46"/>
    <mergeCell ref="A37:A41"/>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W40"/>
  <sheetViews>
    <sheetView workbookViewId="0">
      <selection activeCell="A1" sqref="A1"/>
    </sheetView>
  </sheetViews>
  <sheetFormatPr baseColWidth="8" defaultColWidth="12.63" defaultRowHeight="15.75" customHeight="1"/>
  <cols>
    <col width="20.38" customWidth="1" style="53" min="1" max="1"/>
    <col width="29.38" customWidth="1" style="53" min="2" max="2"/>
    <col width="11.13" customWidth="1" style="53" min="3" max="3"/>
    <col width="5.88" customWidth="1" style="53" min="4" max="4"/>
    <col width="6.5" customWidth="1" style="53" min="5" max="5"/>
    <col width="6.88" customWidth="1" style="53" min="6" max="6"/>
    <col width="7.63" customWidth="1" style="53" min="7" max="7"/>
    <col width="6.88" customWidth="1" style="53" min="8" max="8"/>
    <col width="6.5" customWidth="1" style="53" min="9" max="9"/>
    <col width="5.38" customWidth="1" style="53" min="10" max="10"/>
    <col width="5" customWidth="1" style="53" min="11" max="11"/>
    <col width="5.5" customWidth="1" style="53" min="12" max="12"/>
    <col width="6.25" customWidth="1" style="53" min="13" max="13"/>
    <col width="6.5" customWidth="1" style="53" min="14" max="15"/>
    <col width="6.63" customWidth="1" style="53" min="16" max="16"/>
    <col width="7" customWidth="1" style="53" min="17" max="17"/>
    <col width="6.75" customWidth="1" style="53" min="18" max="18"/>
    <col width="6.13" customWidth="1" style="53" min="19" max="19"/>
    <col width="6.38" customWidth="1" style="53" min="20" max="20"/>
    <col width="6.25" customWidth="1" style="53" min="21" max="21"/>
    <col width="6.13" customWidth="1" style="53" min="22" max="23"/>
  </cols>
  <sheetData>
    <row r="1">
      <c r="A1" s="13" t="inlineStr">
        <is>
          <t>No.</t>
        </is>
      </c>
      <c r="B1" s="13" t="inlineStr">
        <is>
          <t>FullName</t>
        </is>
      </c>
      <c r="C1" s="13" t="inlineStr">
        <is>
          <t>RollNumber</t>
        </is>
      </c>
      <c r="D1" s="13" t="inlineStr">
        <is>
          <t xml:space="preserve">Slot 1 </t>
        </is>
      </c>
      <c r="E1" s="13" t="inlineStr">
        <is>
          <t>Slot 2</t>
        </is>
      </c>
      <c r="F1" s="13" t="inlineStr">
        <is>
          <t>Slot 3</t>
        </is>
      </c>
      <c r="G1" s="13" t="inlineStr">
        <is>
          <t xml:space="preserve"> Slot  4</t>
        </is>
      </c>
      <c r="H1" s="13" t="inlineStr">
        <is>
          <t>slot 5</t>
        </is>
      </c>
      <c r="I1" s="13" t="inlineStr">
        <is>
          <t>slot 6</t>
        </is>
      </c>
      <c r="J1" s="13" t="inlineStr">
        <is>
          <t>slot 7</t>
        </is>
      </c>
      <c r="K1" s="13" t="inlineStr">
        <is>
          <t>slot 8</t>
        </is>
      </c>
      <c r="L1" s="13" t="inlineStr">
        <is>
          <t xml:space="preserve">slot 9 </t>
        </is>
      </c>
      <c r="M1" s="13" t="inlineStr">
        <is>
          <t>slot 10</t>
        </is>
      </c>
      <c r="N1" s="13" t="inlineStr">
        <is>
          <t>slot 11</t>
        </is>
      </c>
      <c r="O1" s="13" t="inlineStr">
        <is>
          <t>slot 12</t>
        </is>
      </c>
      <c r="P1" s="13" t="inlineStr">
        <is>
          <t>slot 13</t>
        </is>
      </c>
      <c r="Q1" s="13" t="inlineStr">
        <is>
          <t>slot 14</t>
        </is>
      </c>
      <c r="R1" s="13" t="inlineStr">
        <is>
          <t>slot 15</t>
        </is>
      </c>
      <c r="S1" s="13" t="inlineStr">
        <is>
          <t>slot 16</t>
        </is>
      </c>
      <c r="T1" s="13" t="inlineStr">
        <is>
          <t>slot 17</t>
        </is>
      </c>
      <c r="U1" s="13" t="inlineStr">
        <is>
          <t>slot 18</t>
        </is>
      </c>
      <c r="V1" s="13" t="inlineStr">
        <is>
          <t>slot 19</t>
        </is>
      </c>
      <c r="W1" s="13" t="inlineStr">
        <is>
          <t>slot 20</t>
        </is>
      </c>
    </row>
    <row r="2">
      <c r="A2" s="39" t="n">
        <v>1</v>
      </c>
      <c r="B2" s="13" t="inlineStr">
        <is>
          <t>Cao Trần Hoàng Minh</t>
        </is>
      </c>
      <c r="C2" s="39" t="inlineStr">
        <is>
          <t>SE170176</t>
        </is>
      </c>
      <c r="D2" s="39" t="n"/>
      <c r="E2" s="39" t="n"/>
      <c r="F2" s="38" t="inlineStr">
        <is>
          <t>-0.5</t>
        </is>
      </c>
    </row>
    <row r="3">
      <c r="A3" s="39" t="n">
        <v>2</v>
      </c>
      <c r="B3" s="13" t="inlineStr">
        <is>
          <t>Nguyễn Khánh Hưng</t>
        </is>
      </c>
      <c r="C3" s="39" t="inlineStr">
        <is>
          <t>SE171529</t>
        </is>
      </c>
      <c r="D3" s="39" t="n"/>
      <c r="E3" s="39" t="n"/>
      <c r="F3" s="38" t="inlineStr">
        <is>
          <t>-0.5</t>
        </is>
      </c>
    </row>
    <row r="4">
      <c r="A4" s="39" t="n">
        <v>3</v>
      </c>
      <c r="B4" s="13" t="inlineStr">
        <is>
          <t>Nguyễn Hoài Ân</t>
        </is>
      </c>
      <c r="C4" s="39" t="inlineStr">
        <is>
          <t>SE180288</t>
        </is>
      </c>
      <c r="D4" s="39" t="n"/>
      <c r="E4" s="39" t="n"/>
      <c r="F4" s="38" t="inlineStr">
        <is>
          <t>-0.5</t>
        </is>
      </c>
    </row>
    <row r="5">
      <c r="A5" s="39" t="n">
        <v>4</v>
      </c>
      <c r="B5" s="13" t="inlineStr">
        <is>
          <t>Vũ Lưu Kiệt</t>
        </is>
      </c>
      <c r="C5" s="39" t="inlineStr">
        <is>
          <t>SE180318</t>
        </is>
      </c>
      <c r="D5" s="39" t="n"/>
      <c r="E5" s="39" t="n"/>
      <c r="F5" s="38" t="inlineStr">
        <is>
          <t>-0.5</t>
        </is>
      </c>
      <c r="J5" s="39" t="n"/>
      <c r="K5" s="39" t="n"/>
      <c r="L5" s="39" t="n"/>
      <c r="M5" s="39" t="n"/>
      <c r="N5" s="39" t="n"/>
      <c r="O5" s="39" t="n"/>
    </row>
    <row r="6">
      <c r="A6" s="39" t="n">
        <v>5</v>
      </c>
      <c r="B6" s="13" t="inlineStr">
        <is>
          <t>Mai Thị Thanh Ngân</t>
        </is>
      </c>
      <c r="C6" s="39" t="inlineStr">
        <is>
          <t>SE180554</t>
        </is>
      </c>
      <c r="D6" s="39" t="n"/>
      <c r="E6" s="39" t="n"/>
      <c r="F6" s="38" t="inlineStr">
        <is>
          <t>-0.5</t>
        </is>
      </c>
      <c r="J6" s="39" t="n"/>
      <c r="K6" s="39" t="n"/>
      <c r="L6" s="39" t="n"/>
      <c r="M6" s="39" t="n"/>
      <c r="N6" s="39" t="n"/>
      <c r="O6" s="39" t="n"/>
    </row>
    <row r="7">
      <c r="A7" s="39" t="n">
        <v>6</v>
      </c>
      <c r="B7" s="13" t="inlineStr">
        <is>
          <t>Vũ Tiến Đạt</t>
        </is>
      </c>
      <c r="C7" s="39" t="inlineStr">
        <is>
          <t>SE180566</t>
        </is>
      </c>
      <c r="D7" s="39" t="n"/>
      <c r="E7" s="39" t="n"/>
      <c r="F7" s="38" t="inlineStr">
        <is>
          <t>-0.5</t>
        </is>
      </c>
      <c r="J7" s="39" t="n"/>
      <c r="K7" s="39" t="n"/>
      <c r="L7" s="39" t="n"/>
      <c r="M7" s="39" t="n"/>
      <c r="N7" s="39" t="n"/>
      <c r="O7" s="39" t="n"/>
    </row>
    <row r="8">
      <c r="A8" s="39" t="n">
        <v>7</v>
      </c>
      <c r="B8" s="13" t="inlineStr">
        <is>
          <t>Lê Văn Kiên</t>
        </is>
      </c>
      <c r="C8" s="39" t="inlineStr">
        <is>
          <t>SE180681</t>
        </is>
      </c>
      <c r="D8" s="39" t="n"/>
      <c r="E8" s="39" t="n"/>
      <c r="F8" s="38" t="inlineStr">
        <is>
          <t>-0.5</t>
        </is>
      </c>
      <c r="J8" s="39" t="n"/>
      <c r="K8" s="39" t="n"/>
      <c r="L8" s="39" t="n"/>
      <c r="M8" s="39" t="n"/>
      <c r="N8" s="39" t="n"/>
      <c r="O8" s="39" t="n"/>
    </row>
    <row r="9">
      <c r="A9" s="39" t="n">
        <v>8</v>
      </c>
      <c r="B9" s="13" t="inlineStr">
        <is>
          <t>Nguyễn Minh Huy</t>
        </is>
      </c>
      <c r="C9" s="39" t="inlineStr">
        <is>
          <t>SE181524</t>
        </is>
      </c>
      <c r="D9" s="39" t="n"/>
      <c r="E9" s="39" t="n"/>
      <c r="F9" s="38" t="inlineStr">
        <is>
          <t>-0.5</t>
        </is>
      </c>
      <c r="J9" s="39" t="n"/>
      <c r="K9" s="39" t="n"/>
      <c r="L9" s="39" t="n"/>
      <c r="M9" s="39" t="n"/>
      <c r="N9" s="39" t="n"/>
      <c r="O9" s="39" t="n"/>
    </row>
    <row r="10">
      <c r="A10" s="39" t="n">
        <v>9</v>
      </c>
      <c r="B10" s="13" t="inlineStr">
        <is>
          <t>Lê Ngọc Bảo Khánh</t>
        </is>
      </c>
      <c r="C10" s="39" t="inlineStr">
        <is>
          <t>SE181542</t>
        </is>
      </c>
      <c r="D10" s="39" t="n"/>
      <c r="E10" s="39" t="n"/>
      <c r="F10" s="38" t="inlineStr">
        <is>
          <t>-0.5</t>
        </is>
      </c>
      <c r="J10" s="39" t="n"/>
      <c r="K10" s="39" t="n"/>
      <c r="L10" s="39" t="n"/>
      <c r="M10" s="39" t="n"/>
      <c r="N10" s="39" t="n"/>
      <c r="O10" s="39" t="n"/>
    </row>
    <row r="11">
      <c r="A11" s="39" t="n">
        <v>10</v>
      </c>
      <c r="B11" s="13" t="inlineStr">
        <is>
          <t>Võ Minh Chánh</t>
        </is>
      </c>
      <c r="C11" s="39" t="inlineStr">
        <is>
          <t>SE181652</t>
        </is>
      </c>
      <c r="D11" s="39" t="n"/>
      <c r="E11" s="39" t="n"/>
      <c r="F11" s="38" t="inlineStr">
        <is>
          <t>-0.5</t>
        </is>
      </c>
      <c r="J11" s="39" t="n"/>
      <c r="K11" s="39" t="n"/>
      <c r="L11" s="39" t="n"/>
      <c r="M11" s="39" t="n"/>
      <c r="N11" s="39" t="n"/>
      <c r="O11" s="39" t="n"/>
    </row>
    <row r="12">
      <c r="A12" s="39" t="n">
        <v>11</v>
      </c>
      <c r="B12" s="13" t="inlineStr">
        <is>
          <t>Nguyễn Thanh Phong</t>
        </is>
      </c>
      <c r="C12" s="39" t="inlineStr">
        <is>
          <t>SE181679</t>
        </is>
      </c>
      <c r="D12" s="39" t="n"/>
      <c r="E12" s="39" t="n"/>
      <c r="F12" s="38" t="inlineStr">
        <is>
          <t>-0.5</t>
        </is>
      </c>
      <c r="J12" s="39" t="n"/>
      <c r="K12" s="39" t="n"/>
      <c r="L12" s="39" t="n"/>
      <c r="M12" s="39" t="n"/>
      <c r="N12" s="39" t="n"/>
      <c r="O12" s="39" t="n"/>
    </row>
    <row r="13">
      <c r="A13" s="39" t="n">
        <v>12</v>
      </c>
      <c r="B13" s="13" t="inlineStr">
        <is>
          <t>Nguyễn Tuấn Tú</t>
        </is>
      </c>
      <c r="C13" s="39" t="inlineStr">
        <is>
          <t>SE181760</t>
        </is>
      </c>
      <c r="D13" s="39" t="n"/>
      <c r="E13" s="39" t="n"/>
      <c r="F13" s="38" t="inlineStr">
        <is>
          <t>-0.5</t>
        </is>
      </c>
      <c r="J13" s="39" t="n"/>
      <c r="K13" s="39" t="n"/>
      <c r="L13" s="39" t="n"/>
      <c r="M13" s="39" t="n"/>
      <c r="N13" s="39" t="n"/>
      <c r="O13" s="39" t="n"/>
    </row>
    <row r="14">
      <c r="A14" s="39" t="n">
        <v>13</v>
      </c>
      <c r="B14" s="13" t="inlineStr">
        <is>
          <t>Lê Nguyễn Xuân Lộc</t>
        </is>
      </c>
      <c r="C14" s="39" t="inlineStr">
        <is>
          <t>SE181968</t>
        </is>
      </c>
      <c r="D14" s="39" t="n"/>
      <c r="E14" s="39" t="n"/>
      <c r="F14" s="38" t="inlineStr">
        <is>
          <t>-0.5</t>
        </is>
      </c>
      <c r="J14" s="39" t="n"/>
      <c r="K14" s="39" t="n"/>
      <c r="L14" s="39" t="n"/>
      <c r="M14" s="39" t="n"/>
      <c r="N14" s="39" t="n"/>
      <c r="O14" s="39" t="n"/>
    </row>
    <row r="15">
      <c r="A15" s="39" t="n">
        <v>14</v>
      </c>
      <c r="B15" s="13" t="inlineStr">
        <is>
          <t>Huỳnh Khả Tú</t>
        </is>
      </c>
      <c r="C15" s="39" t="inlineStr">
        <is>
          <t>SE182134</t>
        </is>
      </c>
      <c r="D15" s="39" t="n"/>
      <c r="E15" s="39" t="n"/>
      <c r="F15" s="38" t="inlineStr">
        <is>
          <t>-0.5</t>
        </is>
      </c>
      <c r="J15" s="39" t="n"/>
      <c r="K15" s="39" t="n"/>
      <c r="L15" s="39" t="n"/>
      <c r="M15" s="39" t="n"/>
      <c r="N15" s="39" t="n"/>
      <c r="O15" s="39" t="n"/>
    </row>
    <row r="16">
      <c r="A16" s="39" t="n">
        <v>15</v>
      </c>
      <c r="B16" s="13" t="inlineStr">
        <is>
          <t>Nguyễn Nam Thịnh</t>
        </is>
      </c>
      <c r="C16" s="39" t="inlineStr">
        <is>
          <t>SE182156</t>
        </is>
      </c>
      <c r="D16" s="39" t="n"/>
      <c r="E16" s="38">
        <f>++1</f>
        <v/>
      </c>
      <c r="F16" s="38" t="inlineStr">
        <is>
          <t>-0.5</t>
        </is>
      </c>
      <c r="J16" s="39" t="n"/>
      <c r="K16" s="39" t="n"/>
      <c r="L16" s="39" t="n"/>
      <c r="M16" s="39" t="n"/>
      <c r="N16" s="39" t="n"/>
      <c r="O16" s="39" t="n"/>
    </row>
    <row r="17">
      <c r="A17" s="39" t="n">
        <v>16</v>
      </c>
      <c r="B17" s="13" t="inlineStr">
        <is>
          <t>Lương Khánh Toàn</t>
        </is>
      </c>
      <c r="C17" s="39" t="inlineStr">
        <is>
          <t>SE182737</t>
        </is>
      </c>
      <c r="D17" s="39" t="n"/>
      <c r="E17" s="38" t="n"/>
      <c r="F17" s="38" t="inlineStr">
        <is>
          <t>-0.5</t>
        </is>
      </c>
      <c r="J17" s="39" t="n"/>
      <c r="K17" s="39" t="n"/>
      <c r="L17" s="39" t="n"/>
      <c r="M17" s="39" t="n"/>
      <c r="N17" s="39" t="n"/>
      <c r="O17" s="39" t="n"/>
    </row>
    <row r="18">
      <c r="A18" s="39" t="n">
        <v>17</v>
      </c>
      <c r="B18" s="13" t="inlineStr">
        <is>
          <t>Quản Minh Luân</t>
        </is>
      </c>
      <c r="C18" s="39" t="inlineStr">
        <is>
          <t>SE182755</t>
        </is>
      </c>
      <c r="D18" s="39" t="n"/>
      <c r="E18" s="38" t="n"/>
      <c r="F18" s="38" t="inlineStr">
        <is>
          <t>-0.5</t>
        </is>
      </c>
      <c r="J18" s="39" t="n"/>
      <c r="K18" s="39" t="n"/>
      <c r="L18" s="39" t="n"/>
      <c r="M18" s="39" t="n"/>
      <c r="N18" s="39" t="n"/>
      <c r="O18" s="39" t="n"/>
    </row>
    <row r="19">
      <c r="A19" s="39" t="n">
        <v>18</v>
      </c>
      <c r="B19" s="13" t="inlineStr">
        <is>
          <t>Nguyễn Quang Vinh</t>
        </is>
      </c>
      <c r="C19" s="39" t="inlineStr">
        <is>
          <t>SE183334</t>
        </is>
      </c>
      <c r="D19" s="39" t="n"/>
      <c r="E19" s="38" t="n"/>
      <c r="F19" s="38" t="inlineStr">
        <is>
          <t>-0.5</t>
        </is>
      </c>
      <c r="J19" s="39" t="n"/>
      <c r="K19" s="39" t="n"/>
      <c r="L19" s="39" t="n"/>
      <c r="M19" s="39" t="n"/>
      <c r="N19" s="39" t="n"/>
      <c r="O19" s="39" t="n"/>
    </row>
    <row r="20">
      <c r="A20" s="39" t="n">
        <v>19</v>
      </c>
      <c r="B20" s="13" t="inlineStr">
        <is>
          <t>Lê Hữu Khoa</t>
        </is>
      </c>
      <c r="C20" s="39" t="inlineStr">
        <is>
          <t>SE183675</t>
        </is>
      </c>
      <c r="D20" s="39" t="n"/>
      <c r="E20" s="38" t="n"/>
      <c r="F20" s="38" t="inlineStr">
        <is>
          <t>-0.5</t>
        </is>
      </c>
      <c r="J20" s="39" t="n"/>
      <c r="K20" s="39" t="n"/>
      <c r="L20" s="39" t="n"/>
      <c r="M20" s="39" t="n"/>
      <c r="N20" s="39" t="n"/>
      <c r="O20" s="39" t="n"/>
    </row>
    <row r="21">
      <c r="A21" s="39" t="n">
        <v>20</v>
      </c>
      <c r="B21" s="13" t="inlineStr">
        <is>
          <t>Hoàng Long Anh</t>
        </is>
      </c>
      <c r="C21" s="39" t="inlineStr">
        <is>
          <t>SE183677</t>
        </is>
      </c>
      <c r="D21" s="39" t="n"/>
      <c r="E21" s="38" t="n"/>
      <c r="F21" s="38" t="inlineStr">
        <is>
          <t>-0.5</t>
        </is>
      </c>
      <c r="J21" s="39" t="n"/>
      <c r="K21" s="39" t="n"/>
      <c r="L21" s="39" t="n"/>
      <c r="M21" s="39" t="n"/>
      <c r="N21" s="39" t="n"/>
      <c r="O21" s="39" t="n"/>
    </row>
    <row r="22">
      <c r="A22" s="39" t="n">
        <v>21</v>
      </c>
      <c r="B22" s="13" t="inlineStr">
        <is>
          <t>Trần Phan Thanh Phúc</t>
        </is>
      </c>
      <c r="C22" s="39" t="inlineStr">
        <is>
          <t>SE183992</t>
        </is>
      </c>
      <c r="D22" s="39" t="n"/>
      <c r="E22" s="38" t="n"/>
      <c r="F22" s="38" t="inlineStr">
        <is>
          <t>-0.5</t>
        </is>
      </c>
      <c r="J22" s="39" t="n"/>
      <c r="K22" s="39" t="n"/>
      <c r="L22" s="39" t="n"/>
      <c r="M22" s="39" t="n"/>
      <c r="N22" s="39" t="n"/>
      <c r="O22" s="39" t="n"/>
    </row>
    <row r="23">
      <c r="A23" s="39" t="n">
        <v>22</v>
      </c>
      <c r="B23" s="13" t="inlineStr">
        <is>
          <t>Đào Huy Hoàng</t>
        </is>
      </c>
      <c r="C23" s="39" t="inlineStr">
        <is>
          <t>SE184158</t>
        </is>
      </c>
      <c r="D23" s="39" t="n"/>
      <c r="E23" s="38" t="n">
        <v>-1</v>
      </c>
      <c r="F23" s="38" t="inlineStr">
        <is>
          <t>-0.5</t>
        </is>
      </c>
      <c r="J23" s="39" t="n"/>
      <c r="K23" s="39" t="n"/>
      <c r="L23" s="39" t="n"/>
      <c r="M23" s="39" t="n"/>
      <c r="N23" s="39" t="n"/>
      <c r="O23" s="39" t="n"/>
    </row>
    <row r="24">
      <c r="A24" s="39" t="n">
        <v>23</v>
      </c>
      <c r="B24" s="13" t="inlineStr">
        <is>
          <t>Nguyễn Thiên Ân</t>
        </is>
      </c>
      <c r="C24" s="39" t="inlineStr">
        <is>
          <t>SE184308</t>
        </is>
      </c>
      <c r="D24" s="39" t="n"/>
      <c r="E24" s="39" t="n"/>
      <c r="F24" s="38" t="inlineStr">
        <is>
          <t>-0.5</t>
        </is>
      </c>
      <c r="J24" s="39" t="n"/>
      <c r="K24" s="39" t="n"/>
      <c r="L24" s="39" t="n"/>
      <c r="M24" s="39" t="n"/>
      <c r="N24" s="39" t="n"/>
      <c r="O24" s="39" t="n"/>
    </row>
    <row r="25">
      <c r="A25" s="39" t="n">
        <v>24</v>
      </c>
      <c r="B25" s="13" t="inlineStr">
        <is>
          <t>Châu Hiếu Nhân</t>
        </is>
      </c>
      <c r="C25" s="39" t="inlineStr">
        <is>
          <t>SE184316</t>
        </is>
      </c>
      <c r="D25" s="39" t="n"/>
      <c r="E25" s="39" t="n"/>
      <c r="F25" s="38" t="inlineStr">
        <is>
          <t>-0.5</t>
        </is>
      </c>
      <c r="J25" s="39" t="n"/>
      <c r="K25" s="39" t="n"/>
      <c r="L25" s="39" t="n"/>
      <c r="M25" s="39" t="n"/>
      <c r="N25" s="39" t="n"/>
      <c r="O25" s="39" t="n"/>
    </row>
    <row r="26">
      <c r="A26" s="39" t="n">
        <v>25</v>
      </c>
      <c r="B26" s="13" t="inlineStr">
        <is>
          <t>Lâm Thị Ngọc Hân</t>
        </is>
      </c>
      <c r="C26" s="39" t="inlineStr">
        <is>
          <t>SE184409</t>
        </is>
      </c>
      <c r="D26" s="39" t="n"/>
      <c r="E26" s="39" t="n"/>
      <c r="F26" s="38" t="inlineStr">
        <is>
          <t>-0.5</t>
        </is>
      </c>
      <c r="J26" s="39" t="n"/>
      <c r="K26" s="39" t="n"/>
      <c r="L26" s="39" t="n"/>
      <c r="M26" s="39" t="n"/>
      <c r="N26" s="39" t="n"/>
      <c r="O26" s="39" t="n"/>
    </row>
    <row r="27">
      <c r="A27" s="39" t="n">
        <v>26</v>
      </c>
      <c r="B27" s="13" t="inlineStr">
        <is>
          <t>Tăng Thùy Thụy</t>
        </is>
      </c>
      <c r="C27" s="39" t="inlineStr">
        <is>
          <t>SE184509</t>
        </is>
      </c>
      <c r="D27" s="39" t="n"/>
      <c r="E27" s="39" t="n"/>
      <c r="F27" s="38" t="inlineStr">
        <is>
          <t>-0.5</t>
        </is>
      </c>
      <c r="J27" s="39" t="n"/>
      <c r="K27" s="39" t="n"/>
      <c r="L27" s="39" t="n"/>
      <c r="M27" s="39" t="n"/>
      <c r="N27" s="39" t="n"/>
      <c r="O27" s="39" t="n"/>
    </row>
    <row r="28">
      <c r="A28" s="39" t="n">
        <v>27</v>
      </c>
      <c r="B28" s="13" t="inlineStr">
        <is>
          <t>Nguyễn Đức Anh</t>
        </is>
      </c>
      <c r="C28" s="39" t="inlineStr">
        <is>
          <t>SE184588</t>
        </is>
      </c>
      <c r="D28" s="39" t="n"/>
      <c r="E28" s="39" t="n"/>
      <c r="F28" s="38" t="inlineStr">
        <is>
          <t>-0.5</t>
        </is>
      </c>
      <c r="J28" s="39" t="n"/>
      <c r="K28" s="39" t="n"/>
      <c r="L28" s="39" t="n"/>
      <c r="M28" s="39" t="n"/>
      <c r="N28" s="39" t="n"/>
      <c r="O28" s="39" t="n"/>
    </row>
    <row r="29">
      <c r="A29" s="39" t="n">
        <v>28</v>
      </c>
      <c r="B29" s="13" t="inlineStr">
        <is>
          <t>Nguyễn Gia Hữu Phước</t>
        </is>
      </c>
      <c r="C29" s="39" t="inlineStr">
        <is>
          <t>SE184632</t>
        </is>
      </c>
      <c r="D29" s="40" t="n"/>
      <c r="E29" s="39" t="n"/>
      <c r="F29" s="38" t="inlineStr">
        <is>
          <t>-0.5</t>
        </is>
      </c>
      <c r="J29" s="39" t="n"/>
      <c r="K29" s="39" t="n"/>
      <c r="L29" s="39" t="n"/>
      <c r="M29" s="39" t="n"/>
      <c r="N29" s="39" t="n"/>
      <c r="O29" s="39" t="n"/>
    </row>
    <row r="30">
      <c r="A30" s="39" t="n">
        <v>29</v>
      </c>
      <c r="B30" s="13" t="inlineStr">
        <is>
          <t>Mai Thành Nhân</t>
        </is>
      </c>
      <c r="C30" s="39" t="inlineStr">
        <is>
          <t>SE184916</t>
        </is>
      </c>
      <c r="D30" s="39" t="n"/>
      <c r="E30" s="39" t="n"/>
      <c r="F30" s="38" t="inlineStr">
        <is>
          <t>-0.5</t>
        </is>
      </c>
      <c r="J30" s="39" t="n"/>
      <c r="K30" s="39" t="n"/>
      <c r="L30" s="39" t="n"/>
      <c r="M30" s="39" t="n"/>
      <c r="N30" s="39" t="n"/>
      <c r="O30" s="39" t="n"/>
    </row>
    <row r="31">
      <c r="A31" s="39" t="n">
        <v>30</v>
      </c>
      <c r="B31" s="13" t="inlineStr">
        <is>
          <t>Nguyễn Tiến Đạt</t>
        </is>
      </c>
      <c r="C31" s="39" t="inlineStr">
        <is>
          <t>SE184970</t>
        </is>
      </c>
      <c r="D31" s="39" t="n"/>
      <c r="E31" s="39" t="n"/>
      <c r="F31" s="38" t="inlineStr">
        <is>
          <t>-0.5</t>
        </is>
      </c>
      <c r="J31" s="39" t="n"/>
      <c r="K31" s="39" t="n"/>
      <c r="L31" s="39" t="n"/>
      <c r="M31" s="39" t="n"/>
      <c r="N31" s="39" t="n"/>
      <c r="O31" s="39" t="n"/>
    </row>
    <row r="32">
      <c r="A32" s="39" t="n">
        <v>31</v>
      </c>
      <c r="B32" s="13" t="inlineStr">
        <is>
          <t>Bùi Đức Anh</t>
        </is>
      </c>
      <c r="C32" s="39" t="inlineStr">
        <is>
          <t>SE184981</t>
        </is>
      </c>
      <c r="D32" s="39" t="n"/>
      <c r="E32" s="39" t="n"/>
      <c r="F32" s="38" t="inlineStr">
        <is>
          <t>-0.5</t>
        </is>
      </c>
      <c r="J32" s="39" t="n"/>
      <c r="K32" s="39" t="n"/>
      <c r="L32" s="39" t="n"/>
      <c r="M32" s="39" t="n"/>
      <c r="N32" s="39" t="n"/>
      <c r="O32" s="39" t="n"/>
    </row>
    <row r="33">
      <c r="A33" s="39" t="n">
        <v>32</v>
      </c>
      <c r="B33" s="13" t="inlineStr">
        <is>
          <t>Nguyễn Huy Hoàng</t>
        </is>
      </c>
      <c r="C33" s="39" t="inlineStr">
        <is>
          <t>SE185092</t>
        </is>
      </c>
      <c r="D33" s="39" t="n"/>
      <c r="E33" s="39" t="n"/>
      <c r="F33" s="38" t="inlineStr">
        <is>
          <t>-0.5</t>
        </is>
      </c>
      <c r="J33" s="39" t="n"/>
      <c r="K33" s="39" t="n"/>
      <c r="L33" s="39" t="n"/>
      <c r="M33" s="39" t="n"/>
      <c r="N33" s="39" t="n"/>
      <c r="O33" s="39" t="n"/>
    </row>
    <row r="34">
      <c r="A34" s="39" t="n">
        <v>33</v>
      </c>
      <c r="B34" s="13" t="inlineStr">
        <is>
          <t>Nguyễn Khánh Ngân</t>
        </is>
      </c>
      <c r="C34" s="39" t="inlineStr">
        <is>
          <t>SE190090</t>
        </is>
      </c>
      <c r="D34" s="39" t="n"/>
      <c r="E34" s="39" t="n"/>
      <c r="F34" s="38" t="inlineStr">
        <is>
          <t>-0.5</t>
        </is>
      </c>
      <c r="J34" s="39" t="n"/>
      <c r="K34" s="39" t="n"/>
      <c r="L34" s="39" t="n"/>
      <c r="M34" s="39" t="n"/>
      <c r="N34" s="39" t="n"/>
      <c r="O34" s="39" t="n"/>
    </row>
    <row r="35">
      <c r="A35" s="39" t="n">
        <v>34</v>
      </c>
      <c r="B35" s="13" t="inlineStr">
        <is>
          <t>Phan Võ Đức Huy</t>
        </is>
      </c>
      <c r="C35" s="39" t="inlineStr">
        <is>
          <t>SE190556</t>
        </is>
      </c>
      <c r="D35" s="39" t="n"/>
      <c r="E35" s="39" t="n"/>
      <c r="F35" s="38" t="inlineStr">
        <is>
          <t>-0.5</t>
        </is>
      </c>
      <c r="J35" s="39" t="n"/>
      <c r="K35" s="39" t="n"/>
      <c r="L35" s="39" t="n"/>
      <c r="M35" s="39" t="n"/>
      <c r="N35" s="39" t="n"/>
      <c r="O35" s="39" t="n"/>
    </row>
    <row r="36">
      <c r="A36" s="39" t="n">
        <v>35</v>
      </c>
      <c r="B36" s="13" t="inlineStr">
        <is>
          <t>Lê Trần Anh Duy</t>
        </is>
      </c>
      <c r="C36" s="39" t="inlineStr">
        <is>
          <t>SE190734</t>
        </is>
      </c>
      <c r="D36" s="39" t="n"/>
      <c r="E36" s="39" t="n"/>
      <c r="F36" s="38" t="inlineStr">
        <is>
          <t>-0.5</t>
        </is>
      </c>
      <c r="J36" s="39" t="n"/>
      <c r="K36" s="39" t="n"/>
      <c r="L36" s="39" t="n"/>
      <c r="M36" s="39" t="n"/>
      <c r="N36" s="39" t="n"/>
      <c r="O36" s="39" t="n"/>
    </row>
    <row r="37">
      <c r="A37" s="39" t="n">
        <v>36</v>
      </c>
      <c r="B37" s="13" t="inlineStr">
        <is>
          <t>Hoàng Ngọc Minh Châu</t>
        </is>
      </c>
      <c r="C37" s="39" t="inlineStr">
        <is>
          <t>SS181219</t>
        </is>
      </c>
      <c r="D37" s="39" t="n"/>
      <c r="E37" s="39" t="n"/>
      <c r="F37" s="38" t="inlineStr">
        <is>
          <t>-0.5</t>
        </is>
      </c>
      <c r="J37" s="39" t="n"/>
      <c r="K37" s="39" t="n"/>
      <c r="L37" s="39" t="n"/>
      <c r="M37" s="39" t="n"/>
      <c r="N37" s="39" t="n"/>
      <c r="O37" s="39" t="n"/>
    </row>
    <row r="38">
      <c r="J38" s="39" t="n"/>
      <c r="K38" s="39" t="n"/>
      <c r="L38" s="39" t="n"/>
      <c r="M38" s="39" t="n"/>
      <c r="N38" s="39" t="n"/>
      <c r="O38" s="39" t="n"/>
    </row>
    <row r="39">
      <c r="J39" s="39" t="n"/>
      <c r="K39" s="39" t="n"/>
      <c r="L39" s="39" t="n"/>
      <c r="M39" s="39" t="n"/>
      <c r="N39" s="39" t="n"/>
      <c r="O39" s="39" t="n"/>
    </row>
    <row r="40">
      <c r="J40" s="39" t="n"/>
      <c r="K40" s="39" t="n"/>
      <c r="L40" s="39" t="n"/>
      <c r="M40" s="39" t="n"/>
      <c r="N40" s="39" t="n"/>
      <c r="O40" s="39"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2"/>
  <sheetViews>
    <sheetView workbookViewId="0">
      <selection activeCell="A1" sqref="A1"/>
    </sheetView>
  </sheetViews>
  <sheetFormatPr baseColWidth="8" defaultColWidth="12.63" defaultRowHeight="15.75" customHeight="1"/>
  <cols>
    <col width="15.75" customWidth="1" style="53" min="1" max="1"/>
    <col width="27.25" customWidth="1" style="53" min="2" max="2"/>
  </cols>
  <sheetData>
    <row r="1">
      <c r="A1" s="41" t="inlineStr">
        <is>
          <t xml:space="preserve">Điểm </t>
        </is>
      </c>
      <c r="B1" s="41" t="inlineStr">
        <is>
          <t>Nhóm</t>
        </is>
      </c>
      <c r="C1" s="41" t="inlineStr">
        <is>
          <t>Ngày</t>
        </is>
      </c>
    </row>
    <row r="2">
      <c r="A2" s="41" t="n">
        <v>-1</v>
      </c>
      <c r="B2" s="41" t="n">
        <v>6</v>
      </c>
      <c r="C2" s="42" t="n">
        <v>46156</v>
      </c>
    </row>
    <row r="3">
      <c r="A3" s="41" t="n">
        <v>-1</v>
      </c>
      <c r="B3" s="41" t="n">
        <v>8</v>
      </c>
      <c r="C3" s="42" t="n">
        <v>46160</v>
      </c>
    </row>
    <row r="4">
      <c r="A4" s="43" t="n">
        <v>-1</v>
      </c>
      <c r="B4" s="43" t="n">
        <v>1</v>
      </c>
      <c r="C4" s="44" t="n">
        <v>46167</v>
      </c>
    </row>
    <row r="5">
      <c r="A5" s="43" t="n">
        <v>-1</v>
      </c>
      <c r="B5" s="43" t="n">
        <v>2</v>
      </c>
      <c r="C5" s="44" t="n">
        <v>46167</v>
      </c>
    </row>
    <row r="6">
      <c r="A6" s="43" t="n">
        <v>-1</v>
      </c>
      <c r="B6" s="43" t="n">
        <v>3</v>
      </c>
      <c r="C6" s="44" t="n">
        <v>46167</v>
      </c>
    </row>
    <row r="7">
      <c r="A7" s="43" t="n">
        <v>-1</v>
      </c>
      <c r="B7" s="43" t="n">
        <v>4</v>
      </c>
      <c r="C7" s="44" t="n">
        <v>46167</v>
      </c>
    </row>
    <row r="8">
      <c r="A8" s="43" t="n">
        <v>-1</v>
      </c>
      <c r="B8" s="43" t="n">
        <v>5</v>
      </c>
      <c r="C8" s="44" t="n">
        <v>46167</v>
      </c>
    </row>
    <row r="9">
      <c r="A9" s="43" t="n">
        <v>-1</v>
      </c>
      <c r="B9" s="43" t="n">
        <v>6</v>
      </c>
      <c r="C9" s="44" t="n">
        <v>46167</v>
      </c>
    </row>
    <row r="10">
      <c r="A10" s="43" t="n">
        <v>-1</v>
      </c>
      <c r="B10" s="43" t="n">
        <v>7</v>
      </c>
      <c r="C10" s="44" t="n">
        <v>46167</v>
      </c>
    </row>
    <row r="11">
      <c r="A11" s="43" t="n">
        <v>-1</v>
      </c>
      <c r="B11" s="43" t="n">
        <v>8</v>
      </c>
      <c r="C11" s="44" t="n">
        <v>46167</v>
      </c>
    </row>
    <row r="12">
      <c r="A12" s="43" t="n"/>
      <c r="B12" s="43" t="n"/>
      <c r="C12" s="44"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51"/>
  <sheetViews>
    <sheetView workbookViewId="0">
      <selection activeCell="A1" sqref="A1"/>
    </sheetView>
  </sheetViews>
  <sheetFormatPr baseColWidth="8" defaultColWidth="12.63" defaultRowHeight="15.75" customHeight="1"/>
  <cols>
    <col width="63.88" customWidth="1" style="53" min="2" max="2"/>
    <col width="69.38" customWidth="1" style="53" min="3" max="3"/>
    <col width="122.88" customWidth="1" style="53" min="4" max="4"/>
  </cols>
  <sheetData>
    <row r="1" ht="64.5" customHeight="1" s="53">
      <c r="A1" s="45" t="inlineStr">
        <is>
          <t>Nhóm</t>
        </is>
      </c>
      <c r="B1" s="45" t="inlineStr">
        <is>
          <t>Topic</t>
        </is>
      </c>
      <c r="C1" s="46" t="inlineStr">
        <is>
          <t>Research question</t>
        </is>
      </c>
      <c r="D1" s="45" t="inlineStr">
        <is>
          <t xml:space="preserve">Expected Output </t>
        </is>
      </c>
    </row>
    <row r="2">
      <c r="A2" s="61" t="n">
        <v>1</v>
      </c>
      <c r="B2" s="52" t="n"/>
      <c r="C2" s="52" t="n"/>
      <c r="D2" s="52" t="n"/>
    </row>
    <row r="3">
      <c r="A3" s="56" t="n"/>
      <c r="B3" s="56" t="n"/>
      <c r="C3" s="56" t="n"/>
      <c r="D3" s="56" t="n"/>
    </row>
    <row r="4">
      <c r="A4" s="56" t="n"/>
      <c r="B4" s="56" t="n"/>
      <c r="C4" s="56" t="n"/>
      <c r="D4" s="56" t="n"/>
    </row>
    <row r="5">
      <c r="A5" s="56" t="n"/>
      <c r="B5" s="56" t="n"/>
      <c r="C5" s="56" t="n"/>
      <c r="D5" s="56" t="n"/>
    </row>
    <row r="6" ht="66.75" customHeight="1" s="53">
      <c r="A6" s="57" t="n"/>
      <c r="B6" s="57" t="n"/>
      <c r="C6" s="57" t="n"/>
      <c r="D6" s="57" t="n"/>
    </row>
    <row r="7">
      <c r="A7" s="61" t="n">
        <v>2</v>
      </c>
      <c r="B7" s="52" t="inlineStr">
        <is>
          <t>Smart Vehicle Care CRM Platform with Loyalty &amp; Appointment Management</t>
        </is>
      </c>
      <c r="C7" s="52" t="inlineStr">
        <is>
          <t>RQ1: How can a digital CRM platform improve customer retention in vehicle care businesses?
RQ2: How do loyalty systems influence customer engagement and repeat service usage?
RQ3: How can appointment management systems improve operational efficiency?
RQ4: What are the advantages of personalized promotions in customer relationship management?</t>
        </is>
      </c>
      <c r="D7" s="52" t="n"/>
    </row>
    <row r="8">
      <c r="A8" s="56" t="n"/>
      <c r="B8" s="56" t="n"/>
      <c r="C8" s="56" t="n"/>
      <c r="D8" s="56" t="n"/>
    </row>
    <row r="9">
      <c r="A9" s="56" t="n"/>
      <c r="B9" s="56" t="n"/>
      <c r="C9" s="56" t="n"/>
      <c r="D9" s="56" t="n"/>
    </row>
    <row r="10">
      <c r="A10" s="56" t="n"/>
      <c r="B10" s="56" t="n"/>
      <c r="C10" s="56" t="n"/>
      <c r="D10" s="56" t="n"/>
    </row>
    <row r="11" ht="131.25" customHeight="1" s="53">
      <c r="A11" s="57" t="n"/>
      <c r="B11" s="57" t="n"/>
      <c r="C11" s="57" t="n"/>
      <c r="D11" s="57" t="n"/>
    </row>
    <row r="12">
      <c r="A12" s="61" t="n">
        <v>3</v>
      </c>
      <c r="B12" s="52" t="n"/>
      <c r="C12" s="52" t="n"/>
      <c r="D12" s="52" t="n"/>
    </row>
    <row r="13">
      <c r="A13" s="56" t="n"/>
      <c r="B13" s="56" t="n"/>
      <c r="C13" s="56" t="n"/>
      <c r="D13" s="56" t="n"/>
    </row>
    <row r="14">
      <c r="A14" s="56" t="n"/>
      <c r="B14" s="56" t="n"/>
      <c r="C14" s="56" t="n"/>
      <c r="D14" s="56" t="n"/>
    </row>
    <row r="15">
      <c r="A15" s="56" t="n"/>
      <c r="B15" s="56" t="n"/>
      <c r="C15" s="56" t="n"/>
      <c r="D15" s="56" t="n"/>
    </row>
    <row r="16" ht="84" customHeight="1" s="53">
      <c r="A16" s="57" t="n"/>
      <c r="B16" s="57" t="n"/>
      <c r="C16" s="57" t="n"/>
      <c r="D16" s="57" t="n"/>
    </row>
    <row r="17">
      <c r="A17" s="61" t="n">
        <v>4</v>
      </c>
      <c r="B17" s="52" t="inlineStr">
        <is>
          <t>AI-assisted Source Code Evaluation and Ranking Based on Dynamic Rubrics in Programming Competitions</t>
        </is>
      </c>
      <c r="C17" s="52" t="inlineStr">
        <is>
          <t>RQ1:How can an AI-assisted workflow be integrated into a programming competition system to support fast source code evaluation and ranking based on dynamic rubrics?
Sub-RQ:
RQ1.1:What input components are necessary for AI-assisted source code evaluation in a programming competition?
RQ1.2:What AI output format is most useful for human judges?
RQ1.3:How close are AI-suggested criterion scores to judge-confirmed criterion scores?
RQ1.4:How much judging time can be reduced when judges use AI-generated evidence and suggested scores?</t>
        </is>
      </c>
      <c r="D17" s="52" t="inlineStr">
        <is>
          <t>- Đã xác định phạm vi nghiên cứu: bài báo tập trung vào module AI-assisted source code evaluation.
- Đã chốt hướng nghiên cứu IOM: Input gồm problem statement, source code/GitHub diff/final source snapshot, dynamic rubric, README, execution results và commit metadata; Method là structured LLM prompting theo từng criterion kết hợp judge accept/override; Output là suggested score, evidence, feedback, confidence, risks và suggested judge questions.
- Đã chọn 5 bài báo core để làm nền tảng nghiên cứu: Rubric Is All You Need, TA Buddy, StepGrade, JorGPT và CodEv.
- Đã phân tích vai trò từng bài báo: Rubric Is All You Need cho dynamic/question-specific rubric; TA Buddy cho human-in-the-loop; StepGrade cho structured prompting; JorGPT cho evaluation metrics; CodEv cho reliability/future work.
- Đã thiết kế sample AI response theo đúng hướng: AI chỉ gợi ý điểm theo từng tiêu chí, judge mới xác nhận hoặc override để tạo final score/ranking.
- Đang tiếp tục viết phần Introduction, Related Work, Research Gap, Proposed IOM Workflow và Methodology cho bài báo khoa học.</t>
        </is>
      </c>
    </row>
    <row r="18">
      <c r="A18" s="56" t="n"/>
      <c r="B18" s="56" t="n"/>
      <c r="C18" s="56" t="n"/>
      <c r="D18" s="56" t="n"/>
    </row>
    <row r="19">
      <c r="A19" s="56" t="n"/>
      <c r="B19" s="56" t="n"/>
      <c r="C19" s="56" t="n"/>
      <c r="D19" s="56" t="n"/>
    </row>
    <row r="20">
      <c r="A20" s="56" t="n"/>
      <c r="B20" s="56" t="n"/>
      <c r="C20" s="56" t="n"/>
      <c r="D20" s="56" t="n"/>
    </row>
    <row r="21" ht="100.5" customHeight="1" s="53">
      <c r="A21" s="57" t="n"/>
      <c r="B21" s="57" t="n"/>
      <c r="C21" s="57" t="n"/>
      <c r="D21" s="57" t="n"/>
    </row>
    <row r="22">
      <c r="A22" s="61" t="n">
        <v>5</v>
      </c>
      <c r="B22" s="52" t="inlineStr">
        <is>
          <t>Scientific Journal Publication Trend Tracking System</t>
        </is>
      </c>
      <c r="C22" s="52" t="inlineStr">
        <is>
          <t>-RQ1: How accurately can the proposed Hybrid Semantic Search and RAG framework filter, categorize, and retrieve publication metadata compared to traditional keyword-matching academic engines?
-RQ2: To what extent does the integration of the Model Context Protocol (MCP) tools layer minimize LLM hallucinations and data fabrication during the generation of trend analysis reports?
-RQ3: How effectively can the dual-layer automated verification logic detect and correct invalid, incomplete, or structurally corrupted AI- scores and Markdown reports?</t>
        </is>
      </c>
      <c r="D22" s="52" t="inlineStr">
        <is>
          <t>- Xác định Đề tài &amp; Bài toán: Định nghĩa xong bài toán thực tế về sự bùng nổ thông tin học thuật và hạn chế của việc tìm kiếm từ khóa tĩnh hiện nay (problem_statement.md).
- Xác định Khoảng trống Nghiên cứu (Research Gap): Chỉ ra điểm yếu của các hệ thống cũ (chạy offline, nạp file thủ công, thiếu AI chấm điểm đa tiêu chí) và đề xuất giải pháp cải tiến của nhóm (Live API, MCP Tools, Dual-Layer Verification) (research_gap.md).
- Thiết lập Câu hỏi Nghiên cứu: Khởi tạo xong 4 Câu hỏi nghiên cứu (RQ1 - RQ4) nhằm đánh giá độ chính xác của RAG, vai trò chống ảo tưởng của MCP, hiệu quả của lớp xác minh (Verification) và giá trị tiết kiệm thời gian cho người dùng (research_questions.md).
- Thu thập &amp; Lọc Tài liệu tham khảo: Lập danh sách 5 bài báo cốt lõi phân bổ đúng tỷ lệ: 2 bài trực tiếp về hệ thống xu hướng, 2 bài về thuật toán AI/NLP (BERTopic/RAG), 1 bài về hạ tầng dữ liệu học thuật mở OpenAlex (paper_list.md).
- Xây dựng Ma trận Tài liệu (Literature Review Matrix): Hoàn thiện bảng so sánh phương pháp, tập dữ liệu, độ đo (metrics) và hạn chế của cả 5 bài báo tiền đề (literature_review_matrix.md).
- Tóm tắt bài báo chi tiết: Viết xong trọn bộ 5 file tóm tắt chi tiết (paper_01.md đến paper_05.md) bám sát cấu trúc học thuật (Problem, Method, Dataset, Evaluation, Limitations, Relevance, Improvements).
-Thiết kế Kiến trúc Dữ liệu &amp; AI: Xác định xong luồng dữ liệu (Data Flow), cấu trúc JSON Input/Output của AI và công thức tính điểm Rubric 6 tiêu chí (Relevance, Semantic, Trend, Metadata, Recency, Research Gap).</t>
        </is>
      </c>
    </row>
    <row r="23">
      <c r="A23" s="56" t="n"/>
      <c r="B23" s="56" t="n"/>
      <c r="C23" s="56" t="n"/>
      <c r="D23" s="56" t="n"/>
    </row>
    <row r="24">
      <c r="A24" s="56" t="n"/>
      <c r="B24" s="56" t="n"/>
      <c r="C24" s="56" t="n"/>
      <c r="D24" s="56" t="n"/>
    </row>
    <row r="25">
      <c r="A25" s="56" t="n"/>
      <c r="B25" s="56" t="n"/>
      <c r="C25" s="56" t="n"/>
      <c r="D25" s="56" t="n"/>
    </row>
    <row r="26" ht="150" customHeight="1" s="53">
      <c r="A26" s="57" t="n"/>
      <c r="B26" s="57" t="n"/>
      <c r="C26" s="57" t="n"/>
      <c r="D26" s="57" t="n"/>
    </row>
    <row r="27">
      <c r="A27" s="61" t="n">
        <v>6</v>
      </c>
      <c r="B27" s="19" t="inlineStr">
        <is>
          <t>AI-Assisted Manga Localization Management System with Collaborative Editorial Workflow</t>
        </is>
      </c>
      <c r="C27" s="48" t="inlineStr">
        <is>
          <t>-RQ1: How accurately can the proposed YOLO/U-Net-based AI pipeline detect and segment manga speech bubbles compared to manual annotation or traditional image-processing baselines?
-RQ2: To what extent does the integration of OpenCV-based bubble whitening and mask refinement improve the quality and usability of AI-generated editable localization regions?
-RQ3: How effectively can the human-in-the-loop correction workflow reduce AI segmentation errors and support reliable editorial approval in manga localization?
-RQ4: To what extent can the proposed collaborative localization management system reduce task completion time and improve coordination among assistants, editors, mangaka, and publishing teams compared with traditional manual workflows?</t>
        </is>
      </c>
      <c r="D27" s="49" t="inlineStr">
        <is>
          <t xml:space="preserve">Bản địa hóa manga có hỗ trợ AI có thể cải thiện hiệu quả quy trình làm việc bằng cách tự động hóa việc phát hiện bong bóng thoại và chuẩn bị vùng văn bản, giảm khối lượng chỉnh sửa thủ công, hỗ trợ quy trình kiểm duyệt cộng tác và rút ngắn tổng thời gian bản địa hóa so với các phương pháp thủ công truyền thống.
Pipeline AI được đề xuất được kỳ vọng sẽ đạt hiệu suất cao trong việc phát hiện và phân đoạn bong bóng thoại manga bằng các kiến trúc dựa trên YOLO/U-Net, với kết quả định lượng tốt theo các chỉ số đánh giá như Precision, Recall, mAP, IoU và Dice Score.
Một hệ thống quản lý cộng tác trên nền tảng web có thể cải thiện khả năng giao tiếp, hiệu quả kiểm duyệt, theo dõi chỉnh sửa và sự phối hợp giữa dịch giả, biên tập viên, trợ lý, họa sĩ manga và đội ngũ xuất bản trong quá trình bản địa hóa.
</t>
        </is>
      </c>
    </row>
    <row r="28">
      <c r="A28" s="56" t="n"/>
      <c r="C28" s="56" t="n"/>
    </row>
    <row r="29">
      <c r="A29" s="56" t="n"/>
      <c r="C29" s="56" t="n"/>
    </row>
    <row r="30">
      <c r="A30" s="56" t="n"/>
      <c r="B30" s="48" t="n"/>
      <c r="C30" s="56" t="n"/>
    </row>
    <row r="31" ht="176.25" customHeight="1" s="53">
      <c r="A31" s="57" t="n"/>
      <c r="B31" s="50" t="n"/>
      <c r="C31" s="56" t="n"/>
    </row>
    <row r="32">
      <c r="A32" s="61" t="n">
        <v>7</v>
      </c>
      <c r="B32" s="52" t="n"/>
      <c r="C32" s="52" t="n"/>
      <c r="D32" s="51" t="n"/>
    </row>
    <row r="33">
      <c r="A33" s="56" t="n"/>
      <c r="B33" s="56" t="n"/>
      <c r="C33" s="56" t="n"/>
      <c r="D33" s="51" t="n"/>
    </row>
    <row r="34">
      <c r="A34" s="56" t="n"/>
      <c r="B34" s="56" t="n"/>
      <c r="C34" s="56" t="n"/>
      <c r="D34" s="51" t="n"/>
    </row>
    <row r="35">
      <c r="A35" s="56" t="n"/>
      <c r="B35" s="56" t="n"/>
      <c r="C35" s="56" t="n"/>
      <c r="D35" s="51" t="n"/>
    </row>
    <row r="36">
      <c r="A36" s="57" t="n"/>
      <c r="B36" s="57" t="n"/>
      <c r="C36" s="57" t="n"/>
      <c r="D36" s="51" t="n"/>
    </row>
    <row r="37">
      <c r="A37" s="61" t="n">
        <v>8</v>
      </c>
      <c r="B37" s="52" t="inlineStr">
        <is>
          <t>Parking Building Management System with Automated Slot Allocation Strategies</t>
        </is>
      </c>
      <c r="C37" s="52" t="inlineStr">
        <is>
          <t>RQ1: How does floor and zone segmentation by vehicle type affect parking space utilization efficiency?
RQ2: Does automated slot allocation reduce search time compared to free-choice parking?
RQ3: Which criteria should be prioritized when allocating slots: distance, floor level, vehicle type, parking duration, or floor/zone occupancy ratio?
RQ4: Can the slot allocation algorithm improve parking utilization rates during peak hours?</t>
        </is>
      </c>
      <c r="D37" s="51" t="inlineStr">
        <is>
          <t>- Đã xác định phạm vi nghiên cứu: bài báo tập trung vào module phân bổ slot tự động (automated slot allocation) trong tòa nhà đỗ xe nhiều tầng, phân zone xe máy/ô tô.
- Đã chốt hướng nghiên cứu: Input gồm real-time occupancy từng tầng, vehicle type, reservation status; Method là Strategy Pattern với 3 thuật toán (Balanced Occupancy, Lowest Floor, Random); Output là slot được gán tối ưu theo tiêu chí cân bằng tải giữa các tầng.
- Đã xác định Research Gap: chưa có nghiên cứu nào kết hợp multi-floor + motorcycle/car zones + automated allocation + bối cảnh Việt Nam.
- Đã thiết lập 4 Research Questions (RQ1–RQ4) đánh giá hiệu quả phân zone, so sánh automated vs free-choice, tiêu chí ưu tiên khi phân bổ, và cải thiện utilization giờ cao điểm.
- Đã chọn 9 bài báo core làm nền tảng nghiên cứu: Constraint Optimization Model (2024, MDPI), ParkGauge (2016, NTU), Smart Parking Guidance (2022, IJSRP), Entropy-Based DP (2024, arXiv), Study of Parking Patterns (2015, IJCSER), GA Optimization (2022, FIEM), Parking Reservation Review (2023, ScienceDirect), Planning Campus Parking (2024, ResearchGate), Motorcycle Drivers Vietnam (2019, MDPI).
- Đã phân tích vai trò từng bài báo và xây dựng Literature Review Matrix với mapping year/source/method/RQ (paper_list.md).
- Đã tóm tắt chi tiết 9 bài báo theo cấu trúc học thuật: Problem, Method, Dataset, Evaluation, Limitations, Relevance (paper_01–09.md).
- Đang tiếp tục viết phần Introduction, Related Work, Proposed Method và Methodology cho bài báo khoa học.</t>
        </is>
      </c>
    </row>
    <row r="38">
      <c r="A38" s="56" t="n"/>
      <c r="B38" s="56" t="n"/>
      <c r="C38" s="56" t="n"/>
      <c r="D38" s="52" t="n"/>
    </row>
    <row r="39">
      <c r="A39" s="56" t="n"/>
      <c r="B39" s="56" t="n"/>
      <c r="C39" s="56" t="n"/>
      <c r="D39" s="52" t="n"/>
    </row>
    <row r="40">
      <c r="A40" s="56" t="n"/>
      <c r="B40" s="56" t="n"/>
      <c r="C40" s="56" t="n"/>
      <c r="D40" s="52" t="n"/>
    </row>
    <row r="41">
      <c r="A41" s="57" t="n"/>
      <c r="B41" s="57" t="n"/>
      <c r="C41" s="57" t="n"/>
      <c r="D41" s="52" t="n"/>
    </row>
    <row r="42">
      <c r="A42" s="61" t="n">
        <v>9</v>
      </c>
      <c r="B42" s="52" t="n"/>
      <c r="C42" s="52" t="n"/>
      <c r="D42" s="52" t="n"/>
    </row>
    <row r="43">
      <c r="A43" s="56" t="n"/>
      <c r="B43" s="56" t="n"/>
      <c r="C43" s="56" t="n"/>
      <c r="D43" s="56" t="n"/>
    </row>
    <row r="44">
      <c r="A44" s="56" t="n"/>
      <c r="B44" s="56" t="n"/>
      <c r="C44" s="56" t="n"/>
      <c r="D44" s="56" t="n"/>
    </row>
    <row r="45">
      <c r="A45" s="56" t="n"/>
      <c r="B45" s="56" t="n"/>
      <c r="C45" s="56" t="n"/>
      <c r="D45" s="56" t="n"/>
    </row>
    <row r="46">
      <c r="A46" s="57" t="n"/>
      <c r="B46" s="57" t="n"/>
      <c r="C46" s="57" t="n"/>
      <c r="D46" s="57" t="n"/>
    </row>
    <row r="47">
      <c r="A47" s="55" t="n"/>
    </row>
    <row r="48">
      <c r="A48" s="56" t="n"/>
    </row>
    <row r="49">
      <c r="A49" s="56" t="n"/>
    </row>
    <row r="50">
      <c r="A50" s="56" t="n"/>
    </row>
    <row r="51">
      <c r="A51" s="57" t="n"/>
    </row>
  </sheetData>
  <mergeCells count="34">
    <mergeCell ref="C2:C6"/>
    <mergeCell ref="A12:A16"/>
    <mergeCell ref="C17:C21"/>
    <mergeCell ref="A2:A6"/>
    <mergeCell ref="D12:D16"/>
    <mergeCell ref="A42:A46"/>
    <mergeCell ref="B37:B41"/>
    <mergeCell ref="C27:C31"/>
    <mergeCell ref="A47:A51"/>
    <mergeCell ref="A32:A36"/>
    <mergeCell ref="A22:A26"/>
    <mergeCell ref="A17:A21"/>
    <mergeCell ref="C22:C26"/>
    <mergeCell ref="C7:C11"/>
    <mergeCell ref="C32:C36"/>
    <mergeCell ref="D42:D46"/>
    <mergeCell ref="C37:C41"/>
    <mergeCell ref="B7:B11"/>
    <mergeCell ref="D22:D26"/>
    <mergeCell ref="B32:B36"/>
    <mergeCell ref="B12:B16"/>
    <mergeCell ref="C42:C46"/>
    <mergeCell ref="B22:B26"/>
    <mergeCell ref="A7:A11"/>
    <mergeCell ref="B2:B6"/>
    <mergeCell ref="D2:D6"/>
    <mergeCell ref="B17:B21"/>
    <mergeCell ref="A27:A31"/>
    <mergeCell ref="D17:D21"/>
    <mergeCell ref="B42:B46"/>
    <mergeCell ref="C12:C16"/>
    <mergeCell ref="D27:D31"/>
    <mergeCell ref="D7:D11"/>
    <mergeCell ref="A37:A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2026-05-29T04:42:21Z</dcterms:created>
  <dcterms:modified xsi:type="dcterms:W3CDTF">2026-05-29T04:50:10Z</dcterms:modified>
</cp:coreProperties>
</file>